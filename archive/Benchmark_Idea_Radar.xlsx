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Idea池雷达" sheetId="2" state="visible" r:id="rId2"/>
    <sheet xmlns:r="http://schemas.openxmlformats.org/officeDocument/2006/relationships" name="02_评分标准" sheetId="3" state="visible" r:id="rId3"/>
    <sheet xmlns:r="http://schemas.openxmlformats.org/officeDocument/2006/relationships" name="03_信息源雷达" sheetId="4" state="visible" r:id="rId4"/>
    <sheet xmlns:r="http://schemas.openxmlformats.org/officeDocument/2006/relationships" name="04_空白格矩阵" sheetId="5" state="visible" r:id="rId5"/>
    <sheet xmlns:r="http://schemas.openxmlformats.org/officeDocument/2006/relationships" name="05_饱和度监测" sheetId="6" state="visible" r:id="rId6"/>
    <sheet xmlns:r="http://schemas.openxmlformats.org/officeDocument/2006/relationships" name="06_探针验收表" sheetId="7" state="visible" r:id="rId7"/>
    <sheet xmlns:r="http://schemas.openxmlformats.org/officeDocument/2006/relationships" name="07_Idea卡片" sheetId="8" state="visible" r:id="rId8"/>
    <sheet xmlns:r="http://schemas.openxmlformats.org/officeDocument/2006/relationships" name="08_生产流水线" sheetId="9" state="visible" r:id="rId9"/>
  </sheets>
  <definedNames>
    <definedName name="_xlnm._FilterDatabase" localSheetId="1" hidden="1">'01_Idea池雷达'!$A$1:$X$18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color rgb="000000FF"/>
      <sz val="10"/>
    </font>
    <font>
      <name val="Arial"/>
      <b val="1"/>
      <sz val="11"/>
    </font>
    <font>
      <name val="Arial"/>
      <color rgb="00C00000"/>
      <sz val="10"/>
    </font>
    <font>
      <name val="Arial"/>
      <b val="1"/>
      <color rgb="00FFFFFF"/>
      <sz val="10"/>
    </font>
    <font>
      <name val="Arial"/>
      <b val="1"/>
      <color rgb="00C00000"/>
      <sz val="11"/>
    </font>
    <font>
      <name val="Arial"/>
      <i val="1"/>
      <color rgb="00C00000"/>
      <sz val="10"/>
    </font>
    <font>
      <name val="Arial"/>
      <color rgb="00808080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B05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5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11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9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6" fillId="3" borderId="0" pivotButton="0" quotePrefix="0" xfId="0"/>
    <xf numFmtId="1" fontId="7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15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8">
    <dxf>
      <font>
        <color rgb="009C0006"/>
      </font>
      <fill>
        <patternFill patternType="solid">
          <bgColor rgb="00FFC7CE"/>
        </patternFill>
      </fill>
    </dxf>
    <dxf>
      <font>
        <color rgb="009C5700"/>
      </font>
      <fill>
        <patternFill patternType="solid">
          <bgColor rgb="00FFEB9C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b val="1"/>
        <color rgb="00FFFFFF"/>
      </font>
      <fill>
        <patternFill patternType="solid">
          <bgColor rgb="0000B050"/>
        </patternFill>
      </fill>
    </dxf>
    <dxf>
      <font>
        <b val="1"/>
        <color rgb="00000000"/>
      </font>
      <fill>
        <patternFill patternType="solid">
          <bgColor rgb="00FFC000"/>
        </patternFill>
      </fill>
    </dxf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</font>
      <fill>
        <patternFill patternType="solid"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  <col width="34" customWidth="1" min="3" max="3"/>
    <col width="14" customWidth="1" min="4" max="4"/>
  </cols>
  <sheetData>
    <row r="1">
      <c r="A1" s="1" t="inlineStr">
        <is>
          <t>Benchmark Idea Radar  |  垂类 Benchmark 选题雷达</t>
        </is>
      </c>
    </row>
    <row r="2">
      <c r="A2" s="2" t="inlineStr">
        <is>
          <t>用途：系统化采集、评分、筛选垂类 Benchmark 选题，避免「做完才发现没人用 / 没区分度」</t>
        </is>
      </c>
    </row>
    <row r="3">
      <c r="A3" t="inlineStr"/>
      <c r="B3" t="inlineStr"/>
      <c r="C3" t="inlineStr"/>
      <c r="D3" t="inlineStr"/>
    </row>
    <row r="4" ht="34" customHeight="1">
      <c r="A4" s="3" t="inlineStr">
        <is>
          <t>SHEET 导航</t>
        </is>
      </c>
      <c r="B4" s="3" t="inlineStr">
        <is>
          <t>作用</t>
        </is>
      </c>
      <c r="C4" s="3" t="inlineStr">
        <is>
          <t>什么时候用</t>
        </is>
      </c>
      <c r="D4" s="3" t="inlineStr">
        <is>
          <t>谁维护</t>
        </is>
      </c>
    </row>
    <row r="5">
      <c r="A5" s="4" t="inlineStr">
        <is>
          <t>01_Idea池雷达</t>
        </is>
      </c>
      <c r="B5" s="5" t="inlineStr">
        <is>
          <t>核心工作台：录入 Idea → 8维打分 → 自动判定 GO/WATCH/NO → 自动排序；含「源类型覆盖」列检查三类源是否交叉</t>
        </is>
      </c>
      <c r="C5" s="5" t="inlineStr">
        <is>
          <t>每周整理 Idea 时</t>
        </is>
      </c>
      <c r="D5" s="5" t="inlineStr">
        <is>
          <t>PM</t>
        </is>
      </c>
    </row>
    <row r="6">
      <c r="A6" s="4" t="inlineStr">
        <is>
          <t>02_评分标准</t>
        </is>
      </c>
      <c r="B6" s="5" t="inlineStr">
        <is>
          <t>8 个维度的 1-5 分锚定描述与权重（打分时的唯一依据）</t>
        </is>
      </c>
      <c r="C6" s="5" t="inlineStr">
        <is>
          <t>打分前必读；季度校准</t>
        </is>
      </c>
      <c r="D6" s="5" t="inlineStr">
        <is>
          <t>PM + 专家</t>
        </is>
      </c>
    </row>
    <row r="7">
      <c r="A7" s="4" t="inlineStr">
        <is>
          <t>03_信息源雷达</t>
        </is>
      </c>
      <c r="B7" s="5" t="inlineStr">
        <is>
          <t>8 类 Idea 来源（S1-S8）+ 价值源/难度源/设计源 分工 + 关键信号 + 能保证的 Gate</t>
        </is>
      </c>
      <c r="C7" s="5" t="inlineStr">
        <is>
          <t>每日/每周扫源</t>
        </is>
      </c>
      <c r="D7" s="5" t="inlineStr">
        <is>
          <t>PM</t>
        </is>
      </c>
    </row>
    <row r="8">
      <c r="A8" s="4" t="inlineStr">
        <is>
          <t>04_空白格矩阵</t>
        </is>
      </c>
      <c r="B8" s="5" t="inlineStr">
        <is>
          <t>能力 × 评测范式 二维矩阵，标注饱和度，空白格＝Idea</t>
        </is>
      </c>
      <c r="C8" s="5" t="inlineStr">
        <is>
          <t>季度全局盘点</t>
        </is>
      </c>
      <c r="D8" s="5" t="inlineStr">
        <is>
          <t>PM + 专家</t>
        </is>
      </c>
    </row>
    <row r="9">
      <c r="A9" s="4" t="inlineStr">
        <is>
          <t>05_饱和度监测</t>
        </is>
      </c>
      <c r="B9" s="5" t="inlineStr">
        <is>
          <t>追踪现有 Benchmark 的 SOTA 分数，自动判定是否饱和</t>
        </is>
      </c>
      <c r="C9" s="5" t="inlineStr">
        <is>
          <t>月度更新</t>
        </is>
      </c>
      <c r="D9" s="5" t="inlineStr">
        <is>
          <t>PM</t>
        </is>
      </c>
    </row>
    <row r="10">
      <c r="A10" s="4" t="inlineStr">
        <is>
          <t>06_探针验收表</t>
        </is>
      </c>
      <c r="B10" s="5" t="inlineStr">
        <is>
          <t>20题 Pilot 的 8 条 Gate 实测验收（立项前最后一关）</t>
        </is>
      </c>
      <c r="C10" s="5" t="inlineStr">
        <is>
          <t>Gate1 评审</t>
        </is>
      </c>
      <c r="D10" s="5" t="inlineStr">
        <is>
          <t>PM + 算法</t>
        </is>
      </c>
    </row>
    <row r="11">
      <c r="A11" s="4" t="inlineStr">
        <is>
          <t>07_Idea卡片</t>
        </is>
      </c>
      <c r="B11" s="5" t="inlineStr">
        <is>
          <t>单个 Idea 的一页纸详述模板（进入 GO 后填写）</t>
        </is>
      </c>
      <c r="C11" s="5" t="inlineStr">
        <is>
          <t>Idea 转立项时</t>
        </is>
      </c>
      <c r="D11" s="5" t="inlineStr">
        <is>
          <t>PM</t>
        </is>
      </c>
    </row>
    <row r="12">
      <c r="A12" s="4" t="inlineStr">
        <is>
          <t>08_生产流水线</t>
        </is>
      </c>
      <c r="B12" s="5" t="inlineStr">
        <is>
          <t>★ 价值源×难度源×设计源 交叉法 6 步流程 + Failure→Capability 抽象表 + 完整示例 + 5 条纪律</t>
        </is>
      </c>
      <c r="C12" s="5" t="inlineStr">
        <is>
          <t>Idea 从 0 到立项全程</t>
        </is>
      </c>
      <c r="D12" s="5" t="inlineStr">
        <is>
          <t>PM</t>
        </is>
      </c>
    </row>
    <row r="13">
      <c r="A13" t="inlineStr"/>
      <c r="B13" t="inlineStr"/>
      <c r="C13" t="inlineStr"/>
      <c r="D13" t="inlineStr"/>
    </row>
    <row r="14">
      <c r="A14" s="4" t="inlineStr">
        <is>
          <t>核心方法论</t>
        </is>
      </c>
      <c r="B14" s="5" t="inlineStr">
        <is>
          <t>8 个源不是并列的，而是分工的</t>
        </is>
      </c>
      <c r="C14" s="5" t="inlineStr"/>
      <c r="D14" s="5" t="inlineStr"/>
    </row>
    <row r="15">
      <c r="A15" s="4" t="inlineStr">
        <is>
          <t>价值源</t>
        </is>
      </c>
      <c r="B15" s="5" t="inlineStr">
        <is>
          <t>S2 真实用户Query / S4 专家工作流 / S8 业务方不确定性 → 定「测什么值得测」，保证 ①真实价值 ⑧权威性</t>
        </is>
      </c>
      <c r="C15" s="5" t="inlineStr"/>
      <c r="D15" s="5" t="inlineStr"/>
    </row>
    <row r="16">
      <c r="A16" s="4" t="inlineStr">
        <is>
          <t>难度源</t>
        </is>
      </c>
      <c r="B16" s="5" t="inlineStr">
        <is>
          <t>S3 模型FailureCase / S7 竞品模型差异 / S6 论文与新能力 → 定「哪里有 Failure」，保证 ②Failure ③区分度</t>
        </is>
      </c>
      <c r="C16" s="5" t="inlineStr"/>
      <c r="D16" s="5" t="inlineStr"/>
    </row>
    <row r="17">
      <c r="A17" s="4" t="inlineStr">
        <is>
          <t>设计源</t>
        </is>
      </c>
      <c r="B17" s="5" t="inlineStr">
        <is>
          <t>S1 现有Benchmark taxonomy / S5 产品与Agent场景 → 定「怎么测」，保证 ④可客观评判 ⑤指导迭代</t>
        </is>
      </c>
      <c r="C17" s="5" t="inlineStr"/>
      <c r="D17" s="5" t="inlineStr"/>
    </row>
    <row r="18">
      <c r="A18" s="4" t="inlineStr">
        <is>
          <t>交叉规则</t>
        </is>
      </c>
      <c r="B18" s="5" t="inlineStr">
        <is>
          <t>好 Idea 必须同时命中三类源。只有价值源→伪需求；只有难度源→无人在意的失败；只有设计源→别人 bench 的补丁</t>
        </is>
      </c>
      <c r="C18" s="5" t="inlineStr"/>
      <c r="D18" s="5" t="inlineStr"/>
    </row>
    <row r="19">
      <c r="A19" t="inlineStr"/>
      <c r="B19" t="inlineStr"/>
      <c r="C19" t="inlineStr"/>
      <c r="D19" t="inlineStr"/>
    </row>
    <row r="20">
      <c r="A20" s="6" t="inlineStr">
        <is>
          <t>使用流程</t>
        </is>
      </c>
      <c r="B20" s="6" t="inlineStr"/>
      <c r="C20" s="6" t="inlineStr"/>
      <c r="D20" s="6" t="inlineStr"/>
    </row>
    <row r="21">
      <c r="A21" s="4" t="inlineStr">
        <is>
          <t>Step 1  扫源</t>
        </is>
      </c>
      <c r="B21" s="5" t="inlineStr">
        <is>
          <t>按 03_信息源雷达 的频率扫描 S1-S8，原始 Idea 先粗略记入 01_Idea池</t>
        </is>
      </c>
      <c r="C21" s="5" t="inlineStr">
        <is>
          <t>每日 10 分钟</t>
        </is>
      </c>
      <c r="D21" s="5" t="inlineStr"/>
    </row>
    <row r="22">
      <c r="A22" s="4" t="inlineStr">
        <is>
          <t>Step 2  交叉</t>
        </is>
      </c>
      <c r="B22" s="5" t="inlineStr">
        <is>
          <t>按 08_生产流水线 的 6 步走：价值定位 → Failure验证 → 区分度验证 → Rubric设计 → 差异化定位</t>
        </is>
      </c>
      <c r="C22" s="5" t="inlineStr">
        <is>
          <t>每周</t>
        </is>
      </c>
      <c r="D22" s="5" t="inlineStr"/>
    </row>
    <row r="23">
      <c r="A23" s="4" t="inlineStr">
        <is>
          <t>Step 3  打分</t>
        </is>
      </c>
      <c r="B23" s="5" t="inlineStr">
        <is>
          <t>按 02_评分标准 给 8 个维度打 1-5 分，总分与判定自动生成；检查「源类型覆盖」是否达 3/3</t>
        </is>
      </c>
      <c r="C23" s="5" t="inlineStr">
        <is>
          <t>每周</t>
        </is>
      </c>
      <c r="D23" s="5" t="inlineStr"/>
    </row>
    <row r="24">
      <c r="A24" s="4" t="inlineStr">
        <is>
          <t>Step 4  筛选</t>
        </is>
      </c>
      <c r="B24" s="5" t="inlineStr">
        <is>
          <t>只看判定为「GO 立项」的行，按优先级排名取 Top 1-2</t>
        </is>
      </c>
      <c r="C24" s="5" t="inlineStr">
        <is>
          <t>每周</t>
        </is>
      </c>
      <c r="D24" s="5" t="inlineStr"/>
    </row>
    <row r="25">
      <c r="A25" s="4" t="inlineStr">
        <is>
          <t>Step 5  盘点</t>
        </is>
      </c>
      <c r="B25" s="5" t="inlineStr">
        <is>
          <t>用 04_空白格矩阵 + 05_饱和度监测 做全局校验，防止漏掉大机会</t>
        </is>
      </c>
      <c r="C25" s="5" t="inlineStr">
        <is>
          <t>每季度</t>
        </is>
      </c>
      <c r="D25" s="5" t="inlineStr"/>
    </row>
    <row r="26">
      <c r="A26" s="4" t="inlineStr">
        <is>
          <t>Step 6  探针</t>
        </is>
      </c>
      <c r="B26" s="5" t="inlineStr">
        <is>
          <t>Top Idea 做 20 题 Pilot，填 06_探针验收表，8 条 Gate 全过才立项</t>
        </is>
      </c>
      <c r="C26" s="5" t="inlineStr">
        <is>
          <t>立项前</t>
        </is>
      </c>
      <c r="D26" s="5" t="inlineStr"/>
    </row>
    <row r="27">
      <c r="A27" s="4" t="inlineStr">
        <is>
          <t>Step 7  立项</t>
        </is>
      </c>
      <c r="B27" s="5" t="inlineStr">
        <is>
          <t>填 07_Idea卡片 作为 PRD 前置文档</t>
        </is>
      </c>
      <c r="C27" s="5" t="inlineStr">
        <is>
          <t>立项时</t>
        </is>
      </c>
      <c r="D27" s="5" t="inlineStr"/>
    </row>
    <row r="28">
      <c r="A28" t="inlineStr"/>
      <c r="B28" t="inlineStr"/>
      <c r="C28" t="inlineStr"/>
      <c r="D28" t="inlineStr"/>
    </row>
    <row r="29">
      <c r="A29" s="6" t="inlineStr">
        <is>
          <t>判定门槛</t>
        </is>
      </c>
      <c r="B29" s="6" t="inlineStr"/>
      <c r="C29" s="6" t="inlineStr"/>
      <c r="D29" s="6" t="inlineStr"/>
    </row>
    <row r="30">
      <c r="A30" s="4" t="inlineStr">
        <is>
          <t>GO   立项</t>
        </is>
      </c>
      <c r="B30" s="5" t="inlineStr">
        <is>
          <t>加权总分 &gt;= 4.00  且  4 个核心维度均 &gt;= 3 分</t>
        </is>
      </c>
      <c r="C30" s="5" t="inlineStr"/>
      <c r="D30" s="5" t="inlineStr"/>
    </row>
    <row r="31">
      <c r="A31" s="4" t="inlineStr">
        <is>
          <t>WATCH 观察</t>
        </is>
      </c>
      <c r="B31" s="5" t="inlineStr">
        <is>
          <t>加权总分 3.20 ~ 3.99  且无红线</t>
        </is>
      </c>
      <c r="C31" s="5" t="inlineStr">
        <is>
          <t>进 Idea 池孵化，等条件成熟</t>
        </is>
      </c>
      <c r="D31" s="5" t="inlineStr"/>
    </row>
    <row r="32">
      <c r="A32" s="4" t="inlineStr">
        <is>
          <t>NO   否决</t>
        </is>
      </c>
      <c r="B32" s="5" t="inlineStr">
        <is>
          <t>加权总分 &lt; 3.20  或  触发红线</t>
        </is>
      </c>
      <c r="C32" s="5" t="inlineStr"/>
      <c r="D32" s="5" t="inlineStr"/>
    </row>
    <row r="33">
      <c r="A33" s="4" t="inlineStr">
        <is>
          <t>红线规则</t>
        </is>
      </c>
      <c r="B33" s="5" t="inlineStr">
        <is>
          <t>① 真实任务价值 / ② 明显Failure / ③ 区分度潜力 / ④ 可客观评判 —— 任一 &lt;= 2 分即否决</t>
        </is>
      </c>
      <c r="C33" s="5" t="inlineStr">
        <is>
          <t>核心四项不可妥协</t>
        </is>
      </c>
      <c r="D33" s="5" t="inlineStr"/>
    </row>
    <row r="34">
      <c r="A34" t="inlineStr"/>
      <c r="B34" t="inlineStr"/>
      <c r="C34" t="inlineStr"/>
      <c r="D34" t="inlineStr"/>
    </row>
    <row r="35">
      <c r="A35" s="6" t="inlineStr">
        <is>
          <t>颜色约定</t>
        </is>
      </c>
      <c r="B35" s="6" t="inlineStr"/>
      <c r="C35" s="6" t="inlineStr"/>
      <c r="D35" s="6" t="inlineStr"/>
    </row>
    <row r="36">
      <c r="A36" s="4" t="inlineStr">
        <is>
          <t>蓝色字体</t>
        </is>
      </c>
      <c r="B36" s="5" t="inlineStr">
        <is>
          <t>需要手工输入的单元格</t>
        </is>
      </c>
      <c r="C36" s="5" t="inlineStr"/>
      <c r="D36" s="5" t="inlineStr"/>
    </row>
    <row r="37">
      <c r="A37" s="4" t="inlineStr">
        <is>
          <t>黑色字体</t>
        </is>
      </c>
      <c r="B37" s="5" t="inlineStr">
        <is>
          <t>公式自动计算，请勿覆盖</t>
        </is>
      </c>
      <c r="C37" s="5" t="inlineStr"/>
      <c r="D37" s="5" t="inlineStr"/>
    </row>
    <row r="38">
      <c r="A38" s="4" t="inlineStr">
        <is>
          <t>黄色底纹</t>
        </is>
      </c>
      <c r="B38" s="5" t="inlineStr">
        <is>
          <t>权重行 / 关键假设，可按团队策略调整</t>
        </is>
      </c>
      <c r="C38" s="5" t="inlineStr"/>
      <c r="D38" s="5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6" customWidth="1" min="4" max="4"/>
    <col width="18" customWidth="1" min="5" max="5"/>
    <col width="13" customWidth="1" min="6" max="6"/>
    <col width="20" customWidth="1" min="7" max="7"/>
    <col width="4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8" customWidth="1" min="18" max="18"/>
    <col width="12" customWidth="1" min="19" max="19"/>
    <col width="8" customWidth="1" min="20" max="20"/>
    <col width="26" customWidth="1" min="21" max="21"/>
    <col width="30" customWidth="1" min="22" max="22"/>
    <col width="9" customWidth="1" min="23" max="23"/>
    <col width="10" customWidth="1" min="24" max="24"/>
  </cols>
  <sheetData>
    <row r="1" ht="46" customHeight="1">
      <c r="A1" s="3" t="inlineStr">
        <is>
          <t>编号</t>
        </is>
      </c>
      <c r="B1" s="3" t="inlineStr">
        <is>
          <t>Idea 名称</t>
        </is>
      </c>
      <c r="C1" s="3" t="inlineStr">
        <is>
          <t>垂类领域</t>
        </is>
      </c>
      <c r="D1" s="3" t="inlineStr">
        <is>
          <t>目标能力</t>
        </is>
      </c>
      <c r="E1" s="3" t="inlineStr">
        <is>
          <t>评测范式</t>
        </is>
      </c>
      <c r="F1" s="3" t="inlineStr">
        <is>
          <t>来源 S 码</t>
        </is>
      </c>
      <c r="G1" s="3" t="inlineStr">
        <is>
          <t>源类型覆盖
(价值/难度/设计)</t>
        </is>
      </c>
      <c r="H1" s="3" t="inlineStr">
        <is>
          <t>一句话描述</t>
        </is>
      </c>
      <c r="I1" s="3" t="inlineStr">
        <is>
          <t>①真实任务价值</t>
        </is>
      </c>
      <c r="J1" s="3" t="inlineStr">
        <is>
          <t>②明显Failure</t>
        </is>
      </c>
      <c r="K1" s="3" t="inlineStr">
        <is>
          <t>③区分度潜力</t>
        </is>
      </c>
      <c r="L1" s="3" t="inlineStr">
        <is>
          <t>④可客观评判</t>
        </is>
      </c>
      <c r="M1" s="3" t="inlineStr">
        <is>
          <t>⑤指导迭代</t>
        </is>
      </c>
      <c r="N1" s="3" t="inlineStr">
        <is>
          <t>⑥抗污染寿命</t>
        </is>
      </c>
      <c r="O1" s="3" t="inlineStr">
        <is>
          <t>⑦成本可行</t>
        </is>
      </c>
      <c r="P1" s="3" t="inlineStr">
        <is>
          <t>⑧权威性可采信</t>
        </is>
      </c>
      <c r="Q1" s="3" t="inlineStr">
        <is>
          <t>加权总分</t>
        </is>
      </c>
      <c r="R1" s="3" t="inlineStr">
        <is>
          <t>红线</t>
        </is>
      </c>
      <c r="S1" s="3" t="inlineStr">
        <is>
          <t>判定</t>
        </is>
      </c>
      <c r="T1" s="3" t="inlineStr">
        <is>
          <t>优先级</t>
        </is>
      </c>
      <c r="U1" s="3" t="inlineStr">
        <is>
          <t>已有竞品 Benchmark</t>
        </is>
      </c>
      <c r="V1" s="3" t="inlineStr">
        <is>
          <t>下一步动作</t>
        </is>
      </c>
      <c r="W1" s="3" t="inlineStr">
        <is>
          <t>负责人</t>
        </is>
      </c>
      <c r="X1" s="3" t="inlineStr">
        <is>
          <t>状态</t>
        </is>
      </c>
    </row>
    <row r="2">
      <c r="A2" s="7" t="inlineStr">
        <is>
          <t>权重 →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8" t="n">
        <v>0.2</v>
      </c>
      <c r="J2" s="8" t="n">
        <v>0.2</v>
      </c>
      <c r="K2" s="8" t="n">
        <v>0.15</v>
      </c>
      <c r="L2" s="8" t="n">
        <v>0.15</v>
      </c>
      <c r="M2" s="8" t="n">
        <v>0.1</v>
      </c>
      <c r="N2" s="8" t="n">
        <v>0.08</v>
      </c>
      <c r="O2" s="8" t="n">
        <v>0.07000000000000001</v>
      </c>
      <c r="P2" s="8" t="n">
        <v>0.05</v>
      </c>
      <c r="Q2" s="7">
        <f> 100%</f>
        <v/>
      </c>
      <c r="R2" s="7" t="inlineStr"/>
      <c r="S2" s="7" t="inlineStr"/>
      <c r="T2" s="7" t="inlineStr"/>
      <c r="U2" s="7" t="inlineStr"/>
      <c r="V2" s="7" t="inlineStr"/>
      <c r="W2" s="7" t="inlineStr"/>
      <c r="X2" s="7" t="inlineStr"/>
    </row>
    <row r="3" ht="50" customHeight="1">
      <c r="A3" s="9" t="inlineStr">
        <is>
          <t>ID-01</t>
        </is>
      </c>
      <c r="B3" s="9" t="inlineStr">
        <is>
          <t>用药安全 Rubric 评测（剂量/相互作用/禁忌）</t>
        </is>
      </c>
      <c r="C3" s="9" t="inlineStr">
        <is>
          <t>医疗</t>
        </is>
      </c>
      <c r="D3" s="9" t="inlineStr">
        <is>
          <t>用药安全决策</t>
        </is>
      </c>
      <c r="E3" s="9" t="inlineStr">
        <is>
          <t>Rubric 开放式</t>
        </is>
      </c>
      <c r="F3" s="10" t="inlineStr">
        <is>
          <t>S8+S3</t>
        </is>
      </c>
      <c r="G3" s="11" t="inlineStr">
        <is>
          <t>价值+难度  (2/3)</t>
        </is>
      </c>
      <c r="H3" s="9" t="inlineStr">
        <is>
          <t>真实处方场景，逐点核查剂量、相互作用、禁忌、肾功能调整，每点绑定说明书/指南</t>
        </is>
      </c>
      <c r="I3" s="10" t="n">
        <v>5</v>
      </c>
      <c r="J3" s="10" t="n">
        <v>5</v>
      </c>
      <c r="K3" s="10" t="n">
        <v>4</v>
      </c>
      <c r="L3" s="10" t="n">
        <v>4</v>
      </c>
      <c r="M3" s="10" t="n">
        <v>5</v>
      </c>
      <c r="N3" s="10" t="n">
        <v>4</v>
      </c>
      <c r="O3" s="10" t="n">
        <v>3</v>
      </c>
      <c r="P3" s="10" t="n">
        <v>4</v>
      </c>
      <c r="Q3" s="12">
        <f>SUMPRODUCT($I$2:$P$2,I3:P3)</f>
        <v/>
      </c>
      <c r="R3" s="13">
        <f>IF(MIN(I3:L3)&lt;=2,"⛔红线","✓")</f>
        <v/>
      </c>
      <c r="S3" s="14">
        <f>IF(R3="⛔红线","NO 否决",IF(Q3&gt;=4,"GO 立项",IF(Q3&gt;=3.2,"WATCH 观察","NO 否决")))</f>
        <v/>
      </c>
      <c r="T3" s="13">
        <f>IF(S3="NO 否决","-",RANK(Q3,$Q$3:$Q$18))</f>
        <v/>
      </c>
      <c r="U3" s="9" t="inlineStr">
        <is>
          <t>MedBench(仅少量选择题)</t>
        </is>
      </c>
      <c r="V3" s="9" t="inlineStr">
        <is>
          <t>出 20 题探针 + 招募临床药师</t>
        </is>
      </c>
      <c r="W3" s="9" t="inlineStr">
        <is>
          <t>PM-A</t>
        </is>
      </c>
      <c r="X3" s="9" t="inlineStr">
        <is>
          <t>探针中</t>
        </is>
      </c>
    </row>
    <row r="4" ht="50" customHeight="1">
      <c r="A4" s="9" t="inlineStr">
        <is>
          <t>ID-02</t>
        </is>
      </c>
      <c r="B4" s="9" t="inlineStr">
        <is>
          <t>指南溯源循证推理评测（S/A级依据链）</t>
        </is>
      </c>
      <c r="C4" s="9" t="inlineStr">
        <is>
          <t>医疗</t>
        </is>
      </c>
      <c r="D4" s="9" t="inlineStr">
        <is>
          <t>循证临床推理</t>
        </is>
      </c>
      <c r="E4" s="9" t="inlineStr">
        <is>
          <t>Rubric + 依据溯源</t>
        </is>
      </c>
      <c r="F4" s="10" t="inlineStr">
        <is>
          <t>S6+S1</t>
        </is>
      </c>
      <c r="G4" s="11" t="inlineStr">
        <is>
          <t>难度+设计  (2/3)</t>
        </is>
      </c>
      <c r="H4" s="9" t="inlineStr">
        <is>
          <t>开放式病例问答，每个评分点必须绑定 S/A 级权威指南，形成可审计依据链</t>
        </is>
      </c>
      <c r="I4" s="10" t="n">
        <v>5</v>
      </c>
      <c r="J4" s="10" t="n">
        <v>4</v>
      </c>
      <c r="K4" s="10" t="n">
        <v>4</v>
      </c>
      <c r="L4" s="10" t="n">
        <v>5</v>
      </c>
      <c r="M4" s="10" t="n">
        <v>5</v>
      </c>
      <c r="N4" s="10" t="n">
        <v>4</v>
      </c>
      <c r="O4" s="10" t="n">
        <v>2</v>
      </c>
      <c r="P4" s="10" t="n">
        <v>5</v>
      </c>
      <c r="Q4" s="12">
        <f>SUMPRODUCT($I$2:$P$2,I4:P4)</f>
        <v/>
      </c>
      <c r="R4" s="13">
        <f>IF(MIN(I4:L4)&lt;=2,"⛔红线","✓")</f>
        <v/>
      </c>
      <c r="S4" s="14">
        <f>IF(R4="⛔红线","NO 否决",IF(Q4&gt;=4,"GO 立项",IF(Q4&gt;=3.2,"WATCH 观察","NO 否决")))</f>
        <v/>
      </c>
      <c r="T4" s="13">
        <f>IF(S4="NO 否决","-",RANK(Q4,$Q$3:$Q$18))</f>
        <v/>
      </c>
      <c r="U4" s="9" t="inlineStr">
        <is>
          <t>ClinConsensus / LiveMedBench</t>
        </is>
      </c>
      <c r="V4" s="9" t="inlineStr">
        <is>
          <t>完成 10 题标注，做 IAA 一致性检验</t>
        </is>
      </c>
      <c r="W4" s="9" t="inlineStr">
        <is>
          <t>PM-A</t>
        </is>
      </c>
      <c r="X4" s="9" t="inlineStr">
        <is>
          <t>进行中</t>
        </is>
      </c>
    </row>
    <row r="5" ht="50" customHeight="1">
      <c r="A5" s="9" t="inlineStr">
        <is>
          <t>ID-03</t>
        </is>
      </c>
      <c r="B5" s="9" t="inlineStr">
        <is>
          <t>多轮问诊主动提问能力评测</t>
        </is>
      </c>
      <c r="C5" s="9" t="inlineStr">
        <is>
          <t>医疗</t>
        </is>
      </c>
      <c r="D5" s="9" t="inlineStr">
        <is>
          <t>信息采集 / 主动澄清</t>
        </is>
      </c>
      <c r="E5" s="9" t="inlineStr">
        <is>
          <t>多轮交互</t>
        </is>
      </c>
      <c r="F5" s="10" t="inlineStr">
        <is>
          <t>S6+S4</t>
        </is>
      </c>
      <c r="G5" s="11" t="inlineStr">
        <is>
          <t>价值+难度  (2/3)</t>
        </is>
      </c>
      <c r="H5" s="9" t="inlineStr">
        <is>
          <t>模拟患者 Agent，评估模型是否会主动追问关键鉴别信息而非直接下结论</t>
        </is>
      </c>
      <c r="I5" s="10" t="n">
        <v>5</v>
      </c>
      <c r="J5" s="10" t="n">
        <v>5</v>
      </c>
      <c r="K5" s="10" t="n">
        <v>4</v>
      </c>
      <c r="L5" s="10" t="n">
        <v>3</v>
      </c>
      <c r="M5" s="10" t="n">
        <v>4</v>
      </c>
      <c r="N5" s="10" t="n">
        <v>5</v>
      </c>
      <c r="O5" s="10" t="n">
        <v>2</v>
      </c>
      <c r="P5" s="10" t="n">
        <v>3</v>
      </c>
      <c r="Q5" s="12">
        <f>SUMPRODUCT($I$2:$P$2,I5:P5)</f>
        <v/>
      </c>
      <c r="R5" s="13">
        <f>IF(MIN(I5:L5)&lt;=2,"⛔红线","✓")</f>
        <v/>
      </c>
      <c r="S5" s="14">
        <f>IF(R5="⛔红线","NO 否决",IF(Q5&gt;=4,"GO 立项",IF(Q5&gt;=3.2,"WATCH 观察","NO 否决")))</f>
        <v/>
      </c>
      <c r="T5" s="13">
        <f>IF(S5="NO 否决","-",RANK(Q5,$Q$3:$Q$18))</f>
        <v/>
      </c>
      <c r="U5" s="9" t="inlineStr">
        <is>
          <t>AMIE(未开源) / MedQA-CS</t>
        </is>
      </c>
      <c r="V5" s="9" t="inlineStr">
        <is>
          <t>先解决患者模拟器保真度问题</t>
        </is>
      </c>
      <c r="W5" s="9" t="inlineStr">
        <is>
          <t>PM-B</t>
        </is>
      </c>
      <c r="X5" s="9" t="inlineStr">
        <is>
          <t>设计中</t>
        </is>
      </c>
    </row>
    <row r="6" ht="50" customHeight="1">
      <c r="A6" s="9" t="inlineStr">
        <is>
          <t>ID-04</t>
        </is>
      </c>
      <c r="B6" s="9" t="inlineStr">
        <is>
          <t>长病历长上下文理解与信息抽取</t>
        </is>
      </c>
      <c r="C6" s="9" t="inlineStr">
        <is>
          <t>医疗</t>
        </is>
      </c>
      <c r="D6" s="9" t="inlineStr">
        <is>
          <t>长上下文 / 信息抽取</t>
        </is>
      </c>
      <c r="E6" s="9" t="inlineStr">
        <is>
          <t>结构化抽取</t>
        </is>
      </c>
      <c r="F6" s="10" t="inlineStr">
        <is>
          <t>S5+S8</t>
        </is>
      </c>
      <c r="G6" s="11" t="inlineStr">
        <is>
          <t>价值+设计  (2/3)</t>
        </is>
      </c>
      <c r="H6" s="9" t="inlineStr">
        <is>
          <t>10万字级真实住院病历，考察跨页信息整合、时间线重建、矛盾信息识别</t>
        </is>
      </c>
      <c r="I6" s="10" t="n">
        <v>4</v>
      </c>
      <c r="J6" s="10" t="n">
        <v>4</v>
      </c>
      <c r="K6" s="10" t="n">
        <v>4</v>
      </c>
      <c r="L6" s="10" t="n">
        <v>4</v>
      </c>
      <c r="M6" s="10" t="n">
        <v>4</v>
      </c>
      <c r="N6" s="10" t="n">
        <v>4</v>
      </c>
      <c r="O6" s="10" t="n">
        <v>3</v>
      </c>
      <c r="P6" s="10" t="n">
        <v>3</v>
      </c>
      <c r="Q6" s="12">
        <f>SUMPRODUCT($I$2:$P$2,I6:P6)</f>
        <v/>
      </c>
      <c r="R6" s="13">
        <f>IF(MIN(I6:L6)&lt;=2,"⛔红线","✓")</f>
        <v/>
      </c>
      <c r="S6" s="14">
        <f>IF(R6="⛔红线","NO 否决",IF(Q6&gt;=4,"GO 立项",IF(Q6&gt;=3.2,"WATCH 观察","NO 否决")))</f>
        <v/>
      </c>
      <c r="T6" s="13">
        <f>IF(S6="NO 否决","-",RANK(Q6,$Q$3:$Q$18))</f>
        <v/>
      </c>
      <c r="U6" s="9" t="inlineStr">
        <is>
          <t>几乎空白</t>
        </is>
      </c>
      <c r="V6" s="9" t="inlineStr">
        <is>
          <t>解决病历脱敏与伦理审批</t>
        </is>
      </c>
      <c r="W6" s="9" t="inlineStr">
        <is>
          <t>PM-B</t>
        </is>
      </c>
      <c r="X6" s="9" t="inlineStr">
        <is>
          <t>待启动</t>
        </is>
      </c>
    </row>
    <row r="7" ht="50" customHeight="1">
      <c r="A7" s="9" t="inlineStr">
        <is>
          <t>ID-05</t>
        </is>
      </c>
      <c r="B7" s="9" t="inlineStr">
        <is>
          <t>医疗安全边界与拒答能力评测</t>
        </is>
      </c>
      <c r="C7" s="9" t="inlineStr">
        <is>
          <t>医疗</t>
        </is>
      </c>
      <c r="D7" s="9" t="inlineStr">
        <is>
          <t>安全 / 拒答边界</t>
        </is>
      </c>
      <c r="E7" s="9" t="inlineStr">
        <is>
          <t>Rubric + 分类</t>
        </is>
      </c>
      <c r="F7" s="10" t="inlineStr">
        <is>
          <t>S8+S3</t>
        </is>
      </c>
      <c r="G7" s="11" t="inlineStr">
        <is>
          <t>价值+难度  (2/3)</t>
        </is>
      </c>
      <c r="H7" s="9" t="inlineStr">
        <is>
          <t>高危问询（自杀、超说明书用药、诊断替代）下是否恰当拒答并引导就医</t>
        </is>
      </c>
      <c r="I7" s="10" t="n">
        <v>5</v>
      </c>
      <c r="J7" s="10" t="n">
        <v>4</v>
      </c>
      <c r="K7" s="10" t="n">
        <v>3</v>
      </c>
      <c r="L7" s="10" t="n">
        <v>4</v>
      </c>
      <c r="M7" s="10" t="n">
        <v>4</v>
      </c>
      <c r="N7" s="10" t="n">
        <v>4</v>
      </c>
      <c r="O7" s="10" t="n">
        <v>4</v>
      </c>
      <c r="P7" s="10" t="n">
        <v>4</v>
      </c>
      <c r="Q7" s="12">
        <f>SUMPRODUCT($I$2:$P$2,I7:P7)</f>
        <v/>
      </c>
      <c r="R7" s="13">
        <f>IF(MIN(I7:L7)&lt;=2,"⛔红线","✓")</f>
        <v/>
      </c>
      <c r="S7" s="14">
        <f>IF(R7="⛔红线","NO 否决",IF(Q7&gt;=4,"GO 立项",IF(Q7&gt;=3.2,"WATCH 观察","NO 否决")))</f>
        <v/>
      </c>
      <c r="T7" s="13">
        <f>IF(S7="NO 否决","-",RANK(Q7,$Q$3:$Q$18))</f>
        <v/>
      </c>
      <c r="U7" s="9" t="inlineStr">
        <is>
          <t>TRIDENT-Bench(偏通用)</t>
        </is>
      </c>
      <c r="V7" s="9" t="inlineStr">
        <is>
          <t>对齐监管口径后出题</t>
        </is>
      </c>
      <c r="W7" s="9" t="inlineStr">
        <is>
          <t>PM-A</t>
        </is>
      </c>
      <c r="X7" s="9" t="inlineStr">
        <is>
          <t>待启动</t>
        </is>
      </c>
    </row>
    <row r="8" ht="50" customHeight="1">
      <c r="A8" s="9" t="inlineStr">
        <is>
          <t>ID-06</t>
        </is>
      </c>
      <c r="B8" s="9" t="inlineStr">
        <is>
          <t>医学影像+文本联合推理评测</t>
        </is>
      </c>
      <c r="C8" s="9" t="inlineStr">
        <is>
          <t>医疗</t>
        </is>
      </c>
      <c r="D8" s="9" t="inlineStr">
        <is>
          <t>多模态推理</t>
        </is>
      </c>
      <c r="E8" s="9" t="inlineStr">
        <is>
          <t>多模态 QA</t>
        </is>
      </c>
      <c r="F8" s="10" t="inlineStr">
        <is>
          <t>S6+S1</t>
        </is>
      </c>
      <c r="G8" s="11" t="inlineStr">
        <is>
          <t>难度+设计  (2/3)</t>
        </is>
      </c>
      <c r="H8" s="9" t="inlineStr">
        <is>
          <t>影像 + 病史联合输入，考察影像描述到诊断结论的推理链正确性</t>
        </is>
      </c>
      <c r="I8" s="10" t="n">
        <v>4</v>
      </c>
      <c r="J8" s="10" t="n">
        <v>5</v>
      </c>
      <c r="K8" s="10" t="n">
        <v>4</v>
      </c>
      <c r="L8" s="10" t="n">
        <v>3</v>
      </c>
      <c r="M8" s="10" t="n">
        <v>3</v>
      </c>
      <c r="N8" s="10" t="n">
        <v>4</v>
      </c>
      <c r="O8" s="10" t="n">
        <v>2</v>
      </c>
      <c r="P8" s="10" t="n">
        <v>4</v>
      </c>
      <c r="Q8" s="12">
        <f>SUMPRODUCT($I$2:$P$2,I8:P8)</f>
        <v/>
      </c>
      <c r="R8" s="13">
        <f>IF(MIN(I8:L8)&lt;=2,"⛔红线","✓")</f>
        <v/>
      </c>
      <c r="S8" s="14">
        <f>IF(R8="⛔红线","NO 否决",IF(Q8&gt;=4,"GO 立项",IF(Q8&gt;=3.2,"WATCH 观察","NO 否决")))</f>
        <v/>
      </c>
      <c r="T8" s="13">
        <f>IF(S8="NO 否决","-",RANK(Q8,$Q$3:$Q$18))</f>
        <v/>
      </c>
      <c r="U8" s="9" t="inlineStr">
        <is>
          <t>MedXpertQA / OmniMedVQA</t>
        </is>
      </c>
      <c r="V8" s="9" t="inlineStr">
        <is>
          <t>影像版权与标注成本待评估</t>
        </is>
      </c>
      <c r="W8" s="9" t="inlineStr">
        <is>
          <t>PM-C</t>
        </is>
      </c>
      <c r="X8" s="9" t="inlineStr">
        <is>
          <t>观察</t>
        </is>
      </c>
    </row>
    <row r="9" ht="50" customHeight="1">
      <c r="A9" s="9" t="inlineStr">
        <is>
          <t>ID-07</t>
        </is>
      </c>
      <c r="B9" s="9" t="inlineStr">
        <is>
          <t>法律意见书质量 Rubric 评测</t>
        </is>
      </c>
      <c r="C9" s="9" t="inlineStr">
        <is>
          <t>法律</t>
        </is>
      </c>
      <c r="D9" s="9" t="inlineStr">
        <is>
          <t>法律文书生成 / 论证</t>
        </is>
      </c>
      <c r="E9" s="9" t="inlineStr">
        <is>
          <t>Rubric 开放式</t>
        </is>
      </c>
      <c r="F9" s="10" t="inlineStr">
        <is>
          <t>S1+S4</t>
        </is>
      </c>
      <c r="G9" s="11" t="inlineStr">
        <is>
          <t>价值+设计  (2/3)</t>
        </is>
      </c>
      <c r="H9" s="9" t="inlineStr">
        <is>
          <t>真实咨询场景出具法律意见书，逐点核查法条引用、争议识别、风险提示、结论明确性</t>
        </is>
      </c>
      <c r="I9" s="10" t="n">
        <v>5</v>
      </c>
      <c r="J9" s="10" t="n">
        <v>4</v>
      </c>
      <c r="K9" s="10" t="n">
        <v>4</v>
      </c>
      <c r="L9" s="10" t="n">
        <v>4</v>
      </c>
      <c r="M9" s="10" t="n">
        <v>4</v>
      </c>
      <c r="N9" s="10" t="n">
        <v>4</v>
      </c>
      <c r="O9" s="10" t="n">
        <v>3</v>
      </c>
      <c r="P9" s="10" t="n">
        <v>4</v>
      </c>
      <c r="Q9" s="12">
        <f>SUMPRODUCT($I$2:$P$2,I9:P9)</f>
        <v/>
      </c>
      <c r="R9" s="13">
        <f>IF(MIN(I9:L9)&lt;=2,"⛔红线","✓")</f>
        <v/>
      </c>
      <c r="S9" s="14">
        <f>IF(R9="⛔红线","NO 否决",IF(Q9&gt;=4,"GO 立项",IF(Q9&gt;=3.2,"WATCH 观察","NO 否决")))</f>
        <v/>
      </c>
      <c r="T9" s="13">
        <f>IF(S9="NO 否决","-",RANK(Q9,$Q$3:$Q$18))</f>
        <v/>
      </c>
      <c r="U9" s="9" t="inlineStr">
        <is>
          <t>LawBench(20任务,偏抽取分类)</t>
        </is>
      </c>
      <c r="V9" s="9" t="inlineStr">
        <is>
          <t>招募执业律师标注团队</t>
        </is>
      </c>
      <c r="W9" s="9" t="inlineStr">
        <is>
          <t>PM-C</t>
        </is>
      </c>
      <c r="X9" s="9" t="inlineStr">
        <is>
          <t>探针中</t>
        </is>
      </c>
    </row>
    <row r="10" ht="50" customHeight="1">
      <c r="A10" s="9" t="inlineStr">
        <is>
          <t>ID-08</t>
        </is>
      </c>
      <c r="B10" s="9" t="inlineStr">
        <is>
          <t>合同起草与审查真实任务（SWE-bench 式）</t>
        </is>
      </c>
      <c r="C10" s="9" t="inlineStr">
        <is>
          <t>法律</t>
        </is>
      </c>
      <c r="D10" s="9" t="inlineStr">
        <is>
          <t>合同起草 / 风险审查</t>
        </is>
      </c>
      <c r="E10" s="9" t="inlineStr">
        <is>
          <t>真实任务 + 可执行检查</t>
        </is>
      </c>
      <c r="F10" s="10" t="inlineStr">
        <is>
          <t>S1+S5</t>
        </is>
      </c>
      <c r="G10" s="15" t="inlineStr">
        <is>
          <t>设计  (1/3)</t>
        </is>
      </c>
      <c r="H10" s="9" t="inlineStr">
        <is>
          <t>给定交易背景起草/修订合同，用条款清单与风险规则做半自动判定</t>
        </is>
      </c>
      <c r="I10" s="10" t="n">
        <v>5</v>
      </c>
      <c r="J10" s="10" t="n">
        <v>4</v>
      </c>
      <c r="K10" s="10" t="n">
        <v>4</v>
      </c>
      <c r="L10" s="10" t="n">
        <v>3</v>
      </c>
      <c r="M10" s="10" t="n">
        <v>4</v>
      </c>
      <c r="N10" s="10" t="n">
        <v>4</v>
      </c>
      <c r="O10" s="10" t="n">
        <v>2</v>
      </c>
      <c r="P10" s="10" t="n">
        <v>3</v>
      </c>
      <c r="Q10" s="12">
        <f>SUMPRODUCT($I$2:$P$2,I10:P10)</f>
        <v/>
      </c>
      <c r="R10" s="13">
        <f>IF(MIN(I10:L10)&lt;=2,"⛔红线","✓")</f>
        <v/>
      </c>
      <c r="S10" s="14">
        <f>IF(R10="⛔红线","NO 否决",IF(Q10&gt;=4,"GO 立项",IF(Q10&gt;=3.2,"WATCH 观察","NO 否决")))</f>
        <v/>
      </c>
      <c r="T10" s="13">
        <f>IF(S10="NO 否决","-",RANK(Q10,$Q$3:$Q$18))</f>
        <v/>
      </c>
      <c r="U10" s="9" t="inlineStr">
        <is>
          <t>空白</t>
        </is>
      </c>
      <c r="V10" s="9" t="inlineStr">
        <is>
          <t>设计条款级自动检查规则</t>
        </is>
      </c>
      <c r="W10" s="9" t="inlineStr">
        <is>
          <t>PM-C</t>
        </is>
      </c>
      <c r="X10" s="9" t="inlineStr">
        <is>
          <t>设计中</t>
        </is>
      </c>
    </row>
    <row r="11" ht="50" customHeight="1">
      <c r="A11" s="9" t="inlineStr">
        <is>
          <t>ID-09</t>
        </is>
      </c>
      <c r="B11" s="9" t="inlineStr">
        <is>
          <t>投研报告生成质量 Rubric 评测</t>
        </is>
      </c>
      <c r="C11" s="9" t="inlineStr">
        <is>
          <t>金融</t>
        </is>
      </c>
      <c r="D11" s="9" t="inlineStr">
        <is>
          <t>投研分析 / 观点论证</t>
        </is>
      </c>
      <c r="E11" s="9" t="inlineStr">
        <is>
          <t>Rubric 开放式</t>
        </is>
      </c>
      <c r="F11" s="10" t="inlineStr">
        <is>
          <t>S2+S4</t>
        </is>
      </c>
      <c r="G11" s="15" t="inlineStr">
        <is>
          <t>价值  (1/3)</t>
        </is>
      </c>
      <c r="H11" s="9" t="inlineStr">
        <is>
          <t>给定财报与行业数据生成投研观点，核查数据准确性、逻辑链、风险披露、结论可执行性</t>
        </is>
      </c>
      <c r="I11" s="10" t="n">
        <v>4</v>
      </c>
      <c r="J11" s="10" t="n">
        <v>4</v>
      </c>
      <c r="K11" s="10" t="n">
        <v>4</v>
      </c>
      <c r="L11" s="10" t="n">
        <v>3</v>
      </c>
      <c r="M11" s="10" t="n">
        <v>4</v>
      </c>
      <c r="N11" s="10" t="n">
        <v>3</v>
      </c>
      <c r="O11" s="10" t="n">
        <v>3</v>
      </c>
      <c r="P11" s="10" t="n">
        <v>3</v>
      </c>
      <c r="Q11" s="12">
        <f>SUMPRODUCT($I$2:$P$2,I11:P11)</f>
        <v/>
      </c>
      <c r="R11" s="13">
        <f>IF(MIN(I11:L11)&lt;=2,"⛔红线","✓")</f>
        <v/>
      </c>
      <c r="S11" s="14">
        <f>IF(R11="⛔红线","NO 否决",IF(Q11&gt;=4,"GO 立项",IF(Q11&gt;=3.2,"WATCH 观察","NO 否决")))</f>
        <v/>
      </c>
      <c r="T11" s="13">
        <f>IF(S11="NO 否决","-",RANK(Q11,$Q$3:$Q$18))</f>
        <v/>
      </c>
      <c r="U11" s="9" t="inlineStr">
        <is>
          <t>CFBenchmark / CNFinBench</t>
        </is>
      </c>
      <c r="V11" s="9" t="inlineStr">
        <is>
          <t>解决「多解性」评分难题</t>
        </is>
      </c>
      <c r="W11" s="9" t="inlineStr">
        <is>
          <t>PM-D</t>
        </is>
      </c>
      <c r="X11" s="9" t="inlineStr">
        <is>
          <t>观察</t>
        </is>
      </c>
    </row>
    <row r="12" ht="50" customHeight="1">
      <c r="A12" s="9" t="inlineStr">
        <is>
          <t>ID-10</t>
        </is>
      </c>
      <c r="B12" s="9" t="inlineStr">
        <is>
          <t>财报长上下文数值推理评测</t>
        </is>
      </c>
      <c r="C12" s="9" t="inlineStr">
        <is>
          <t>金融</t>
        </is>
      </c>
      <c r="D12" s="9" t="inlineStr">
        <is>
          <t>数值推理 / 长上下文</t>
        </is>
      </c>
      <c r="E12" s="9" t="inlineStr">
        <is>
          <t>精确答案 + 过程分</t>
        </is>
      </c>
      <c r="F12" s="10" t="inlineStr">
        <is>
          <t>S1+S2</t>
        </is>
      </c>
      <c r="G12" s="11" t="inlineStr">
        <is>
          <t>价值+设计  (2/3)</t>
        </is>
      </c>
      <c r="H12" s="9" t="inlineStr">
        <is>
          <t>多期财报交叉计算（同比/调整后口径/附注勾稽），答案唯一可自动判分</t>
        </is>
      </c>
      <c r="I12" s="10" t="n">
        <v>5</v>
      </c>
      <c r="J12" s="10" t="n">
        <v>4</v>
      </c>
      <c r="K12" s="10" t="n">
        <v>5</v>
      </c>
      <c r="L12" s="10" t="n">
        <v>5</v>
      </c>
      <c r="M12" s="10" t="n">
        <v>4</v>
      </c>
      <c r="N12" s="10" t="n">
        <v>4</v>
      </c>
      <c r="O12" s="10" t="n">
        <v>4</v>
      </c>
      <c r="P12" s="10" t="n">
        <v>3</v>
      </c>
      <c r="Q12" s="12">
        <f>SUMPRODUCT($I$2:$P$2,I12:P12)</f>
        <v/>
      </c>
      <c r="R12" s="13">
        <f>IF(MIN(I12:L12)&lt;=2,"⛔红线","✓")</f>
        <v/>
      </c>
      <c r="S12" s="14">
        <f>IF(R12="⛔红线","NO 否决",IF(Q12&gt;=4,"GO 立项",IF(Q12&gt;=3.2,"WATCH 观察","NO 否决")))</f>
        <v/>
      </c>
      <c r="T12" s="13">
        <f>IF(S12="NO 否决","-",RANK(Q12,$Q$3:$Q$18))</f>
        <v/>
      </c>
      <c r="U12" s="9" t="inlineStr">
        <is>
          <t>FinanceBench(规模小)</t>
        </is>
      </c>
      <c r="V12" s="9" t="inlineStr">
        <is>
          <t>直接扩题量，最快可交付</t>
        </is>
      </c>
      <c r="W12" s="9" t="inlineStr">
        <is>
          <t>PM-D</t>
        </is>
      </c>
      <c r="X12" s="9" t="inlineStr">
        <is>
          <t>探针中</t>
        </is>
      </c>
    </row>
    <row r="13" ht="50" customHeight="1">
      <c r="A13" s="9" t="inlineStr">
        <is>
          <t>ID-11</t>
        </is>
      </c>
      <c r="B13" s="9" t="inlineStr">
        <is>
          <t>CPA 审计程序推理评测</t>
        </is>
      </c>
      <c r="C13" s="9" t="inlineStr">
        <is>
          <t>审计</t>
        </is>
      </c>
      <c r="D13" s="9" t="inlineStr">
        <is>
          <t>审计程序 / 职业判断</t>
        </is>
      </c>
      <c r="E13" s="9" t="inlineStr">
        <is>
          <t>Rubric 开放式</t>
        </is>
      </c>
      <c r="F13" s="10" t="inlineStr">
        <is>
          <t>S4+S1</t>
        </is>
      </c>
      <c r="G13" s="11" t="inlineStr">
        <is>
          <t>价值+设计  (2/3)</t>
        </is>
      </c>
      <c r="H13" s="9" t="inlineStr">
        <is>
          <t>给定被审计单位情形，设计审计程序并判断风险，映射 CPA 与审计准则条文</t>
        </is>
      </c>
      <c r="I13" s="10" t="n">
        <v>4</v>
      </c>
      <c r="J13" s="10" t="n">
        <v>5</v>
      </c>
      <c r="K13" s="10" t="n">
        <v>4</v>
      </c>
      <c r="L13" s="10" t="n">
        <v>4</v>
      </c>
      <c r="M13" s="10" t="n">
        <v>4</v>
      </c>
      <c r="N13" s="10" t="n">
        <v>5</v>
      </c>
      <c r="O13" s="10" t="n">
        <v>3</v>
      </c>
      <c r="P13" s="10" t="n">
        <v>3</v>
      </c>
      <c r="Q13" s="12">
        <f>SUMPRODUCT($I$2:$P$2,I13:P13)</f>
        <v/>
      </c>
      <c r="R13" s="13">
        <f>IF(MIN(I13:L13)&lt;=2,"⛔红线","✓")</f>
        <v/>
      </c>
      <c r="S13" s="14">
        <f>IF(R13="⛔红线","NO 否决",IF(Q13&gt;=4,"GO 立项",IF(Q13&gt;=3.2,"WATCH 观察","NO 否决")))</f>
        <v/>
      </c>
      <c r="T13" s="13">
        <f>IF(S13="NO 否决","-",RANK(Q13,$Q$3:$Q$18))</f>
        <v/>
      </c>
      <c r="U13" s="9" t="inlineStr">
        <is>
          <t>基本空白</t>
        </is>
      </c>
      <c r="V13" s="9" t="inlineStr">
        <is>
          <t>锁定准则版本，招募注会专家</t>
        </is>
      </c>
      <c r="W13" s="9" t="inlineStr">
        <is>
          <t>PM-D</t>
        </is>
      </c>
      <c r="X13" s="9" t="inlineStr">
        <is>
          <t>待启动</t>
        </is>
      </c>
    </row>
    <row r="14" ht="50" customHeight="1">
      <c r="A14" s="9" t="inlineStr">
        <is>
          <t>ID-12</t>
        </is>
      </c>
      <c r="B14" s="9" t="inlineStr">
        <is>
          <t>垂类 Agent 工具调用能力评测（医疗助手）</t>
        </is>
      </c>
      <c r="C14" s="9" t="inlineStr">
        <is>
          <t>医疗</t>
        </is>
      </c>
      <c r="D14" s="9" t="inlineStr">
        <is>
          <t>Agent / 工具调用</t>
        </is>
      </c>
      <c r="E14" s="9" t="inlineStr">
        <is>
          <t>Agent 任务 + 轨迹评分</t>
        </is>
      </c>
      <c r="F14" s="10" t="inlineStr">
        <is>
          <t>S5+S3</t>
        </is>
      </c>
      <c r="G14" s="11" t="inlineStr">
        <is>
          <t>难度+设计  (2/3)</t>
        </is>
      </c>
      <c r="H14" s="9" t="inlineStr">
        <is>
          <t>给定知识库/计算器/检索工具，评估是否正确调用、参数是否准确、结论是否落地</t>
        </is>
      </c>
      <c r="I14" s="10" t="n">
        <v>4</v>
      </c>
      <c r="J14" s="10" t="n">
        <v>5</v>
      </c>
      <c r="K14" s="10" t="n">
        <v>5</v>
      </c>
      <c r="L14" s="10" t="n">
        <v>4</v>
      </c>
      <c r="M14" s="10" t="n">
        <v>4</v>
      </c>
      <c r="N14" s="10" t="n">
        <v>5</v>
      </c>
      <c r="O14" s="10" t="n">
        <v>2</v>
      </c>
      <c r="P14" s="10" t="n">
        <v>3</v>
      </c>
      <c r="Q14" s="12">
        <f>SUMPRODUCT($I$2:$P$2,I14:P14)</f>
        <v/>
      </c>
      <c r="R14" s="13">
        <f>IF(MIN(I14:L14)&lt;=2,"⛔红线","✓")</f>
        <v/>
      </c>
      <c r="S14" s="14">
        <f>IF(R14="⛔红线","NO 否决",IF(Q14&gt;=4,"GO 立项",IF(Q14&gt;=3.2,"WATCH 观察","NO 否决")))</f>
        <v/>
      </c>
      <c r="T14" s="13">
        <f>IF(S14="NO 否决","-",RANK(Q14,$Q$3:$Q$18))</f>
        <v/>
      </c>
      <c r="U14" s="9" t="inlineStr">
        <is>
          <t>垂类 Agent 评测几乎空白</t>
        </is>
      </c>
      <c r="V14" s="9" t="inlineStr">
        <is>
          <t>先搭工具沙箱环境</t>
        </is>
      </c>
      <c r="W14" s="9" t="inlineStr">
        <is>
          <t>PM-B</t>
        </is>
      </c>
      <c r="X14" s="9" t="inlineStr">
        <is>
          <t>设计中</t>
        </is>
      </c>
    </row>
    <row r="15" ht="50" customHeight="1">
      <c r="A15" s="9" t="inlineStr">
        <is>
          <t>ID-13</t>
        </is>
      </c>
      <c r="B15" s="9" t="inlineStr">
        <is>
          <t>垂类防污染动态更新评测框架（方法论）</t>
        </is>
      </c>
      <c r="C15" s="9" t="inlineStr">
        <is>
          <t>跨领域</t>
        </is>
      </c>
      <c r="D15" s="9" t="inlineStr">
        <is>
          <t>评测基建 / 抗污染</t>
        </is>
      </c>
      <c r="E15" s="9" t="inlineStr">
        <is>
          <t>框架 + 管道</t>
        </is>
      </c>
      <c r="F15" s="10" t="inlineStr">
        <is>
          <t>S1+S6</t>
        </is>
      </c>
      <c r="G15" s="11" t="inlineStr">
        <is>
          <t>难度+设计  (2/3)</t>
        </is>
      </c>
      <c r="H15" s="9" t="inlineStr">
        <is>
          <t>时间切片 + 私有 holdout + 等价变体生成，做成可复用的抗污染基建</t>
        </is>
      </c>
      <c r="I15" s="10" t="n">
        <v>3</v>
      </c>
      <c r="J15" s="10" t="n">
        <v>3</v>
      </c>
      <c r="K15" s="10" t="n">
        <v>3</v>
      </c>
      <c r="L15" s="10" t="n">
        <v>4</v>
      </c>
      <c r="M15" s="10" t="n">
        <v>3</v>
      </c>
      <c r="N15" s="10" t="n">
        <v>5</v>
      </c>
      <c r="O15" s="10" t="n">
        <v>3</v>
      </c>
      <c r="P15" s="10" t="n">
        <v>4</v>
      </c>
      <c r="Q15" s="12">
        <f>SUMPRODUCT($I$2:$P$2,I15:P15)</f>
        <v/>
      </c>
      <c r="R15" s="13">
        <f>IF(MIN(I15:L15)&lt;=2,"⛔红线","✓")</f>
        <v/>
      </c>
      <c r="S15" s="14">
        <f>IF(R15="⛔红线","NO 否决",IF(Q15&gt;=4,"GO 立项",IF(Q15&gt;=3.2,"WATCH 观察","NO 否决")))</f>
        <v/>
      </c>
      <c r="T15" s="13">
        <f>IF(S15="NO 否决","-",RANK(Q15,$Q$3:$Q$18))</f>
        <v/>
      </c>
      <c r="U15" s="9" t="inlineStr">
        <is>
          <t>LiveMedBench</t>
        </is>
      </c>
      <c r="V15" s="9" t="inlineStr">
        <is>
          <t>作为底层能力嵌入其他项目</t>
        </is>
      </c>
      <c r="W15" s="9" t="inlineStr">
        <is>
          <t>PM-A</t>
        </is>
      </c>
      <c r="X15" s="9" t="inlineStr">
        <is>
          <t>孵化</t>
        </is>
      </c>
    </row>
    <row r="16" ht="50" customHeight="1">
      <c r="A16" s="9" t="inlineStr">
        <is>
          <t>ID-14</t>
        </is>
      </c>
      <c r="B16" s="9" t="inlineStr">
        <is>
          <t>K12 解题过程评分评测</t>
        </is>
      </c>
      <c r="C16" s="9" t="inlineStr">
        <is>
          <t>教育</t>
        </is>
      </c>
      <c r="D16" s="9" t="inlineStr">
        <is>
          <t>解题过程 / 步骤分</t>
        </is>
      </c>
      <c r="E16" s="9" t="inlineStr">
        <is>
          <t>Rubric 步骤分</t>
        </is>
      </c>
      <c r="F16" s="10" t="inlineStr">
        <is>
          <t>S2</t>
        </is>
      </c>
      <c r="G16" s="15" t="inlineStr">
        <is>
          <t>价值  (1/3)</t>
        </is>
      </c>
      <c r="H16" s="9" t="inlineStr">
        <is>
          <t>数学题按步骤给分，考察过程正确性而非仅答案</t>
        </is>
      </c>
      <c r="I16" s="10" t="n">
        <v>3</v>
      </c>
      <c r="J16" s="10" t="n">
        <v>2</v>
      </c>
      <c r="K16" s="10" t="n">
        <v>2</v>
      </c>
      <c r="L16" s="10" t="n">
        <v>3</v>
      </c>
      <c r="M16" s="10" t="n">
        <v>3</v>
      </c>
      <c r="N16" s="10" t="n">
        <v>2</v>
      </c>
      <c r="O16" s="10" t="n">
        <v>4</v>
      </c>
      <c r="P16" s="10" t="n">
        <v>2</v>
      </c>
      <c r="Q16" s="12">
        <f>SUMPRODUCT($I$2:$P$2,I16:P16)</f>
        <v/>
      </c>
      <c r="R16" s="13">
        <f>IF(MIN(I16:L16)&lt;=2,"⛔红线","✓")</f>
        <v/>
      </c>
      <c r="S16" s="14">
        <f>IF(R16="⛔红线","NO 否决",IF(Q16&gt;=4,"GO 立项",IF(Q16&gt;=3.2,"WATCH 观察","NO 否决")))</f>
        <v/>
      </c>
      <c r="T16" s="13">
        <f>IF(S16="NO 否决","-",RANK(Q16,$Q$3:$Q$18))</f>
        <v/>
      </c>
      <c r="U16" s="9" t="inlineStr">
        <is>
          <t>EduBench 等已较多</t>
        </is>
      </c>
      <c r="V16" s="9" t="inlineStr">
        <is>
          <t>现有模型已基本满分，无区分度</t>
        </is>
      </c>
      <c r="W16" s="9" t="inlineStr">
        <is>
          <t>PM-E</t>
        </is>
      </c>
      <c r="X16" s="9" t="inlineStr">
        <is>
          <t>否决</t>
        </is>
      </c>
    </row>
    <row r="17" ht="50" customHeight="1">
      <c r="A17" s="9" t="inlineStr">
        <is>
          <t>ID-15</t>
        </is>
      </c>
      <c r="B17" s="9" t="inlineStr">
        <is>
          <t>罕见病分子机制知识问答</t>
        </is>
      </c>
      <c r="C17" s="9" t="inlineStr">
        <is>
          <t>医疗</t>
        </is>
      </c>
      <c r="D17" s="9" t="inlineStr">
        <is>
          <t>知识记忆</t>
        </is>
      </c>
      <c r="E17" s="9" t="inlineStr">
        <is>
          <t>选择题</t>
        </is>
      </c>
      <c r="F17" s="10" t="inlineStr">
        <is>
          <t>S6</t>
        </is>
      </c>
      <c r="G17" s="15" t="inlineStr">
        <is>
          <t>难度  (1/3)</t>
        </is>
      </c>
      <c r="H17" s="9" t="inlineStr">
        <is>
          <t>考察罕见病致病基因与分子通路的知识记忆</t>
        </is>
      </c>
      <c r="I17" s="10" t="n">
        <v>1</v>
      </c>
      <c r="J17" s="10" t="n">
        <v>2</v>
      </c>
      <c r="K17" s="10" t="n">
        <v>2</v>
      </c>
      <c r="L17" s="10" t="n">
        <v>5</v>
      </c>
      <c r="M17" s="10" t="n">
        <v>2</v>
      </c>
      <c r="N17" s="10" t="n">
        <v>2</v>
      </c>
      <c r="O17" s="10" t="n">
        <v>4</v>
      </c>
      <c r="P17" s="10" t="n">
        <v>2</v>
      </c>
      <c r="Q17" s="12">
        <f>SUMPRODUCT($I$2:$P$2,I17:P17)</f>
        <v/>
      </c>
      <c r="R17" s="13">
        <f>IF(MIN(I17:L17)&lt;=2,"⛔红线","✓")</f>
        <v/>
      </c>
      <c r="S17" s="14">
        <f>IF(R17="⛔红线","NO 否决",IF(Q17&gt;=4,"GO 立项",IF(Q17&gt;=3.2,"WATCH 观察","NO 否决")))</f>
        <v/>
      </c>
      <c r="T17" s="13">
        <f>IF(S17="NO 否决","-",RANK(Q17,$Q$3:$Q$18))</f>
        <v/>
      </c>
      <c r="U17" s="9" t="inlineStr">
        <is>
          <t>MedQA / CMB 已覆盖</t>
        </is>
      </c>
      <c r="V17" s="9" t="inlineStr">
        <is>
          <t>真实工作流不做此任务，否决</t>
        </is>
      </c>
      <c r="W17" s="9" t="inlineStr">
        <is>
          <t>PM-E</t>
        </is>
      </c>
      <c r="X17" s="9" t="inlineStr">
        <is>
          <t>否决</t>
        </is>
      </c>
    </row>
    <row r="18" ht="50" customHeight="1">
      <c r="A18" s="9" t="inlineStr">
        <is>
          <t>ID-16</t>
        </is>
      </c>
      <c r="B18" s="9" t="inlineStr">
        <is>
          <t>PDF 财报异常识别与证据引用（任务式）</t>
        </is>
      </c>
      <c r="C18" s="9" t="inlineStr">
        <is>
          <t>金融</t>
        </is>
      </c>
      <c r="D18" s="9" t="inlineStr">
        <is>
          <t>长上下文+数值接地+跨页推理+引用正确性</t>
        </is>
      </c>
      <c r="E18" s="9" t="inlineStr">
        <is>
          <t>真实任务 + 自动判分</t>
        </is>
      </c>
      <c r="F18" s="10" t="inlineStr">
        <is>
          <t>S8+S3+S5</t>
        </is>
      </c>
      <c r="G18" s="16" t="inlineStr">
        <is>
          <t>价值+难度+设计  (3/3)</t>
        </is>
      </c>
      <c r="H18" s="9" t="inlineStr">
        <is>
          <t>给真实年报 PDF：读财报→找异常→引用证据页码→给结论。答案唯一可自动判分，citation 正确性单独计分</t>
        </is>
      </c>
      <c r="I18" s="10" t="n">
        <v>5</v>
      </c>
      <c r="J18" s="10" t="n">
        <v>5</v>
      </c>
      <c r="K18" s="10" t="n">
        <v>5</v>
      </c>
      <c r="L18" s="10" t="n">
        <v>4</v>
      </c>
      <c r="M18" s="10" t="n">
        <v>5</v>
      </c>
      <c r="N18" s="10" t="n">
        <v>4</v>
      </c>
      <c r="O18" s="10" t="n">
        <v>4</v>
      </c>
      <c r="P18" s="10" t="n">
        <v>4</v>
      </c>
      <c r="Q18" s="12">
        <f>SUMPRODUCT($I$2:$P$2,I18:P18)</f>
        <v/>
      </c>
      <c r="R18" s="13">
        <f>IF(MIN(I18:L18)&lt;=2,"⛔红线","✓")</f>
        <v/>
      </c>
      <c r="S18" s="14">
        <f>IF(R18="⛔红线","NO 否决",IF(Q18&gt;=4,"GO 立项",IF(Q18&gt;=3.2,"WATCH 观察","NO 否决")))</f>
        <v/>
      </c>
      <c r="T18" s="13">
        <f>IF(S18="NO 否决","-",RANK(Q18,$Q$3:$Q$18))</f>
        <v/>
      </c>
      <c r="U18" s="9" t="inlineStr">
        <is>
          <t>FinanceBench(规模小) / CNFinBench(偏单轮QA)</t>
        </is>
      </c>
      <c r="V18" s="9" t="inlineStr">
        <is>
          <t>★流水线完整走通示例：见 08_生产流水线</t>
        </is>
      </c>
      <c r="W18" s="9" t="inlineStr">
        <is>
          <t>PM-D</t>
        </is>
      </c>
      <c r="X18" s="9" t="inlineStr">
        <is>
          <t>立项</t>
        </is>
      </c>
    </row>
    <row r="20">
      <c r="A20" s="17" t="inlineStr">
        <is>
          <t>汇总</t>
        </is>
      </c>
      <c r="B20" s="18" t="inlineStr">
        <is>
          <t>GO 立项数</t>
        </is>
      </c>
      <c r="C20" s="19">
        <f>COUNTIF(S3:S18,"GO 立项")</f>
        <v/>
      </c>
      <c r="D20" s="18" t="inlineStr">
        <is>
          <t>WATCH 观察数</t>
        </is>
      </c>
      <c r="E20" s="19">
        <f>COUNTIF(S3:S18,"WATCH 观察")</f>
        <v/>
      </c>
      <c r="F20" s="18" t="inlineStr">
        <is>
          <t>NO 否决数</t>
        </is>
      </c>
      <c r="G20" s="19">
        <f>COUNTIF(S3:S18,"NO 否决")</f>
        <v/>
      </c>
      <c r="H20" s="18" t="inlineStr">
        <is>
          <t>平均总分</t>
        </is>
      </c>
      <c r="I20" s="19">
        <f>ROUND(AVERAGE(Q3:Q18),2)</f>
        <v/>
      </c>
    </row>
  </sheetData>
  <autoFilter ref="A1:X18"/>
  <conditionalFormatting sqref="I3:P18">
    <cfRule type="cellIs" priority="1" operator="lessThanOrEqual" dxfId="0">
      <formula>2</formula>
    </cfRule>
    <cfRule type="cellIs" priority="2" operator="equal" dxfId="1">
      <formula>3</formula>
    </cfRule>
    <cfRule type="cellIs" priority="3" operator="greaterThanOrEqual" dxfId="2">
      <formula>4</formula>
    </cfRule>
  </conditionalFormatting>
  <conditionalFormatting sqref="S3:S18">
    <cfRule type="expression" priority="4" dxfId="3">
      <formula>ISNUMBER(SEARCH("GO",S3))</formula>
    </cfRule>
    <cfRule type="expression" priority="5" dxfId="4">
      <formula>ISNUMBER(SEARCH("WATCH",S3))</formula>
    </cfRule>
    <cfRule type="expression" priority="6" dxfId="5">
      <formula>ISNUMBER(SEARCH("NO",S3))</formula>
    </cfRule>
  </conditionalFormatting>
  <conditionalFormatting sqref="R3:R18">
    <cfRule type="expression" priority="7" dxfId="5">
      <formula>R3="⛔红线"</formula>
    </cfRule>
  </conditionalFormatting>
  <conditionalFormatting sqref="Q3:Q18">
    <cfRule type="cellIs" priority="8" operator="greaterThanOrEqual" dxfId="6">
      <formula>4</formula>
    </cfRule>
  </conditionalFormatting>
  <dataValidations count="1">
    <dataValidation sqref="I3:P18" showDropDown="0" showInputMessage="0" showErrorMessage="1" allowBlank="1" errorTitle="打分范围" error="请输入 1 到 5 的整数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8" customWidth="1" min="3" max="3"/>
    <col width="28" customWidth="1" min="4" max="4"/>
    <col width="28" customWidth="1" min="5" max="5"/>
    <col width="28" customWidth="1" min="6" max="6"/>
    <col width="28" customWidth="1" min="7" max="7"/>
    <col width="34" customWidth="1" min="8" max="8"/>
  </cols>
  <sheetData>
    <row r="1">
      <c r="A1" s="1" t="inlineStr">
        <is>
          <t>8 维评分锚定标准（打分唯一依据）</t>
        </is>
      </c>
    </row>
    <row r="3" ht="34" customHeight="1">
      <c r="A3" s="3" t="inlineStr">
        <is>
          <t>维度</t>
        </is>
      </c>
      <c r="B3" s="3" t="inlineStr">
        <is>
          <t>核心问题</t>
        </is>
      </c>
      <c r="C3" s="3" t="inlineStr">
        <is>
          <t>权重</t>
        </is>
      </c>
      <c r="D3" s="3" t="inlineStr">
        <is>
          <t>1 分</t>
        </is>
      </c>
      <c r="E3" s="3" t="inlineStr">
        <is>
          <t>2 分</t>
        </is>
      </c>
      <c r="F3" s="3" t="inlineStr">
        <is>
          <t>3 分</t>
        </is>
      </c>
      <c r="G3" s="3" t="inlineStr">
        <is>
          <t>4 分</t>
        </is>
      </c>
      <c r="H3" s="3" t="inlineStr">
        <is>
          <t>5 分</t>
        </is>
      </c>
    </row>
    <row r="4" ht="56" customHeight="1">
      <c r="A4" s="6" t="inlineStr">
        <is>
          <t>①真实任务价值</t>
        </is>
      </c>
      <c r="B4" s="5" t="inlineStr">
        <is>
          <t>真实工作流里有人做吗？做错有代价吗？</t>
        </is>
      </c>
      <c r="C4" s="8" t="n">
        <v>0.2</v>
      </c>
      <c r="D4" s="5" t="inlineStr">
        <is>
          <t>纯学术/考试题，真实工作流不做</t>
        </is>
      </c>
      <c r="E4" s="5" t="inlineStr">
        <is>
          <t>偶尔涉及，错了无实质后果</t>
        </is>
      </c>
      <c r="F4" s="5" t="inlineStr">
        <is>
          <t>有人做，但非核心环节</t>
        </is>
      </c>
      <c r="G4" s="5" t="inlineStr">
        <is>
          <t>高频任务，做错有明确损失</t>
        </is>
      </c>
      <c r="H4" s="5" t="inlineStr">
        <is>
          <t>核心高频任务，做错有严重后果（安全/资金/法律）</t>
        </is>
      </c>
    </row>
    <row r="5" ht="56" customHeight="1">
      <c r="A5" s="6" t="inlineStr">
        <is>
          <t>②明显Failure</t>
        </is>
      </c>
      <c r="B5" s="5" t="inlineStr">
        <is>
          <t>SOTA 模型确实做不好吗？</t>
        </is>
      </c>
      <c r="C5" s="8" t="n">
        <v>0.2</v>
      </c>
      <c r="D5" s="5" t="inlineStr">
        <is>
          <t>SOTA 已接近满分（&gt;90%）</t>
        </is>
      </c>
      <c r="E5" s="5" t="inlineStr">
        <is>
          <t>SOTA 表现良好（80-90%）</t>
        </is>
      </c>
      <c r="F5" s="5" t="inlineStr">
        <is>
          <t>SOTA 中等（70-80%）</t>
        </is>
      </c>
      <c r="G5" s="5" t="inlineStr">
        <is>
          <t>SOTA 明显吃力（50-70%）</t>
        </is>
      </c>
      <c r="H5" s="5" t="inlineStr">
        <is>
          <t>SOTA 大面积失败（30-50%），且失败有规律</t>
        </is>
      </c>
    </row>
    <row r="6" ht="56" customHeight="1">
      <c r="A6" s="6" t="inlineStr">
        <is>
          <t>③区分度潜力</t>
        </is>
      </c>
      <c r="B6" s="5" t="inlineStr">
        <is>
          <t>强弱模型能被分开吗？</t>
        </is>
      </c>
      <c r="C6" s="8" t="n">
        <v>0.15</v>
      </c>
      <c r="D6" s="5" t="inlineStr">
        <is>
          <t>预期所有模型分数接近</t>
        </is>
      </c>
      <c r="E6" s="5" t="inlineStr">
        <is>
          <t>仅能区分强弱两档</t>
        </is>
      </c>
      <c r="F6" s="5" t="inlineStr">
        <is>
          <t>能分 3 档，但排序不稳</t>
        </is>
      </c>
      <c r="G6" s="5" t="inlineStr">
        <is>
          <t>分数梯度明显，排序稳定</t>
        </is>
      </c>
      <c r="H6" s="5" t="inlineStr">
        <is>
          <t>梯度清晰且可随模型进步持续区分（有难度分层设计）</t>
        </is>
      </c>
    </row>
    <row r="7" ht="56" customHeight="1">
      <c r="A7" s="6" t="inlineStr">
        <is>
          <t>④可客观评判</t>
        </is>
      </c>
      <c r="B7" s="5" t="inlineStr">
        <is>
          <t>同一答案重复评分结果一致吗？</t>
        </is>
      </c>
      <c r="C7" s="8" t="n">
        <v>0.15</v>
      </c>
      <c r="D7" s="5" t="inlineStr">
        <is>
          <t>完全主观，无法复现</t>
        </is>
      </c>
      <c r="E7" s="5" t="inlineStr">
        <is>
          <t>需专家主观裁量，一致性 &lt;0.5</t>
        </is>
      </c>
      <c r="F7" s="5" t="inlineStr">
        <is>
          <t>可写 Rubric，一致性 0.5-0.7</t>
        </is>
      </c>
      <c r="G7" s="5" t="inlineStr">
        <is>
          <t>Rubric 二元可判定，一致性 0.7-0.85</t>
        </is>
      </c>
      <c r="H7" s="5" t="inlineStr">
        <is>
          <t>答案唯一或 Rubric 完全可机判，一致性 &gt;0.85</t>
        </is>
      </c>
    </row>
    <row r="8" ht="56" customHeight="1">
      <c r="A8" s="6" t="inlineStr">
        <is>
          <t>⑤指导迭代</t>
        </is>
      </c>
      <c r="B8" s="5" t="inlineStr">
        <is>
          <t>模型得 45 分，研发知道该改什么吗？</t>
        </is>
      </c>
      <c r="C8" s="8" t="n">
        <v>0.1</v>
      </c>
      <c r="D8" s="5" t="inlineStr">
        <is>
          <t>只能给一个总分</t>
        </is>
      </c>
      <c r="E8" s="5" t="inlineStr">
        <is>
          <t>能分大类但无法定位</t>
        </is>
      </c>
      <c r="F8" s="5" t="inlineStr">
        <is>
          <t>能定位到能力维度</t>
        </is>
      </c>
      <c r="G8" s="5" t="inlineStr">
        <is>
          <t>能定位到子能力 + 错误类型</t>
        </is>
      </c>
      <c r="H8" s="5" t="inlineStr">
        <is>
          <t>能定位到子能力、错误类型并给出数据/训练建议</t>
        </is>
      </c>
    </row>
    <row r="9" ht="56" customHeight="1">
      <c r="A9" s="6" t="inlineStr">
        <is>
          <t>⑥抗污染寿命</t>
        </is>
      </c>
      <c r="B9" s="5" t="inlineStr">
        <is>
          <t>半年后还有效吗？</t>
        </is>
      </c>
      <c r="C9" s="8" t="n">
        <v>0.08</v>
      </c>
      <c r="D9" s="5" t="inlineStr">
        <is>
          <t>题目全在公网，已被训练</t>
        </is>
      </c>
      <c r="E9" s="5" t="inlineStr">
        <is>
          <t>大部分可检索到</t>
        </is>
      </c>
      <c r="F9" s="5" t="inlineStr">
        <is>
          <t>部分可检索，无更新机制</t>
        </is>
      </c>
      <c r="G9" s="5" t="inlineStr">
        <is>
          <t>有私有 holdout 或时间切片</t>
        </is>
      </c>
      <c r="H9" s="5" t="inlineStr">
        <is>
          <t>原创题 + 私有集 + 可持续更新管道，寿命 &gt;2 年</t>
        </is>
      </c>
    </row>
    <row r="10" ht="56" customHeight="1">
      <c r="A10" s="6" t="inlineStr">
        <is>
          <t>⑦成本可行</t>
        </is>
      </c>
      <c r="B10" s="5" t="inlineStr">
        <is>
          <t>数据/专家/预算够吗？</t>
        </is>
      </c>
      <c r="C10" s="8" t="n">
        <v>0.07000000000000001</v>
      </c>
      <c r="D10" s="5" t="inlineStr">
        <is>
          <t>数据拿不到或有版权死结</t>
        </is>
      </c>
      <c r="E10" s="5" t="inlineStr">
        <is>
          <t>专家极难招募，成本远超预算</t>
        </is>
      </c>
      <c r="F10" s="5" t="inlineStr">
        <is>
          <t>成本紧张，需砍规模</t>
        </is>
      </c>
      <c r="G10" s="5" t="inlineStr">
        <is>
          <t>成本可控，资源基本齐备</t>
        </is>
      </c>
      <c r="H10" s="5" t="inlineStr">
        <is>
          <t>数据可持续获取，专家到位，成本充裕</t>
        </is>
      </c>
    </row>
    <row r="11" ht="56" customHeight="1">
      <c r="A11" s="6" t="inlineStr">
        <is>
          <t>⑧权威性可采信</t>
        </is>
      </c>
      <c r="B11" s="5" t="inlineStr">
        <is>
          <t>有人会认你的结论吗？</t>
        </is>
      </c>
      <c r="C11" s="8" t="n">
        <v>0.05</v>
      </c>
      <c r="D11" s="5" t="inlineStr">
        <is>
          <t>无背书，方法不公开</t>
        </is>
      </c>
      <c r="E11" s="5" t="inlineStr">
        <is>
          <t>仅内部认可</t>
        </is>
      </c>
      <c r="F11" s="5" t="inlineStr">
        <is>
          <t>有部分专家参与</t>
        </is>
      </c>
      <c r="G11" s="5" t="inlineStr">
        <is>
          <t>专家资质可公示 + 依据可溯源</t>
        </is>
      </c>
      <c r="H11" s="5" t="inlineStr">
        <is>
          <t>权威专家背书 + 依据全溯源 + 方法论可发表复现</t>
        </is>
      </c>
    </row>
    <row r="12">
      <c r="A12" s="18" t="inlineStr">
        <is>
          <t>权重合计</t>
        </is>
      </c>
      <c r="B12" s="20" t="n"/>
      <c r="C12" s="21">
        <f>SUM(C4:C11)</f>
        <v/>
      </c>
      <c r="D12" s="20" t="n"/>
      <c r="E12" s="20" t="n"/>
      <c r="F12" s="20" t="n"/>
      <c r="G12" s="20" t="n"/>
      <c r="H12" s="20" t="n"/>
    </row>
    <row r="13">
      <c r="A13" s="17" t="inlineStr">
        <is>
          <t>关键规则与陷阱</t>
        </is>
      </c>
      <c r="B13" s="22" t="n"/>
      <c r="C13" s="22" t="n"/>
      <c r="D13" s="22" t="n"/>
      <c r="E13" s="22" t="n"/>
      <c r="F13" s="22" t="n"/>
      <c r="G13" s="22" t="n"/>
      <c r="H13" s="22" t="n"/>
    </row>
    <row r="14" ht="30" customHeight="1">
      <c r="A14" s="4" t="inlineStr">
        <is>
          <t>红线规则</t>
        </is>
      </c>
      <c r="B14" s="5" t="inlineStr">
        <is>
          <t>① ② ③ ④ 四个核心维度任一 &lt;= 2 分 → 直接否决，不看总分</t>
        </is>
      </c>
      <c r="C14" s="23" t="n"/>
      <c r="D14" s="23" t="n"/>
      <c r="E14" s="23" t="n"/>
      <c r="F14" s="23" t="n"/>
      <c r="G14" s="23" t="n"/>
      <c r="H14" s="23" t="n"/>
    </row>
    <row r="15" ht="30" customHeight="1">
      <c r="A15" s="4" t="inlineStr">
        <is>
          <t>判定门槛</t>
        </is>
      </c>
      <c r="B15" s="5" t="inlineStr">
        <is>
          <t>GO &gt;= 4.00 ；WATCH 3.20-3.99 ；NO &lt; 3.20</t>
        </is>
      </c>
      <c r="C15" s="23" t="n"/>
      <c r="D15" s="23" t="n"/>
      <c r="E15" s="23" t="n"/>
      <c r="F15" s="23" t="n"/>
      <c r="G15" s="23" t="n"/>
      <c r="H15" s="23" t="n"/>
    </row>
    <row r="16" ht="30" customHeight="1">
      <c r="A16" s="4" t="inlineStr">
        <is>
          <t>权重可调</t>
        </is>
      </c>
      <c r="B16" s="5" t="inlineStr">
        <is>
          <t>权重行是团队策略的体现：偏商业化可提高①③；偏学术可提高②⑧；01 表会自动重算</t>
        </is>
      </c>
      <c r="C16" s="23" t="n"/>
      <c r="D16" s="23" t="n"/>
      <c r="E16" s="23" t="n"/>
      <c r="F16" s="23" t="n"/>
      <c r="G16" s="23" t="n"/>
      <c r="H16" s="23" t="n"/>
    </row>
    <row r="17" ht="30" customHeight="1">
      <c r="A17" s="4" t="inlineStr">
        <is>
          <t>打分纪律</t>
        </is>
      </c>
      <c r="B17" s="5" t="inlineStr">
        <is>
          <t>打分必须给出「凭什么给这个分」的一句话理由，写在 01 表「下一步动作」或备注里</t>
        </is>
      </c>
      <c r="C17" s="23" t="n"/>
      <c r="D17" s="23" t="n"/>
      <c r="E17" s="23" t="n"/>
      <c r="F17" s="23" t="n"/>
      <c r="G17" s="23" t="n"/>
      <c r="H17" s="23" t="n"/>
    </row>
    <row r="18" ht="30" customHeight="1">
      <c r="A18" s="4" t="inlineStr">
        <is>
          <t>②的反直觉点</t>
        </is>
      </c>
      <c r="B18" s="5" t="inlineStr">
        <is>
          <t>SOTA 分数过低（&lt;20%）不加分反而扣分——通常说明题目设计或评分标准有问题，而非模型无能</t>
        </is>
      </c>
      <c r="C18" s="23" t="n"/>
      <c r="D18" s="23" t="n"/>
      <c r="E18" s="23" t="n"/>
      <c r="F18" s="23" t="n"/>
      <c r="G18" s="23" t="n"/>
      <c r="H18" s="23" t="n"/>
    </row>
    <row r="19" ht="30" customHeight="1">
      <c r="A19" s="4" t="inlineStr">
        <is>
          <t>③与②的张力</t>
        </is>
      </c>
      <c r="B19" s="5" t="inlineStr">
        <is>
          <t>若所有模型都接近 0 分：有 Failure 但无区分度。必须做难度分层（易30%/中40%/难30%）</t>
        </is>
      </c>
      <c r="C19" s="23" t="n"/>
      <c r="D19" s="23" t="n"/>
      <c r="E19" s="23" t="n"/>
      <c r="F19" s="23" t="n"/>
      <c r="G19" s="23" t="n"/>
      <c r="H19" s="23" t="n"/>
    </row>
    <row r="20" ht="30" customHeight="1">
      <c r="A20" s="4" t="inlineStr">
        <is>
          <t>①与④的张力</t>
        </is>
      </c>
      <c r="B20" s="5" t="inlineStr">
        <is>
          <t>越真实的任务越开放、越难客观评分。解法是 case-specific Rubric + 依据溯源，代价是成本</t>
        </is>
      </c>
      <c r="C20" s="23" t="n"/>
      <c r="D20" s="23" t="n"/>
      <c r="E20" s="23" t="n"/>
      <c r="F20" s="23" t="n"/>
      <c r="G20" s="23" t="n"/>
      <c r="H20" s="23" t="n"/>
    </row>
  </sheetData>
  <mergeCells count="8">
    <mergeCell ref="B14:H14"/>
    <mergeCell ref="B17:H17"/>
    <mergeCell ref="B18:H18"/>
    <mergeCell ref="B16:H16"/>
    <mergeCell ref="B15:H15"/>
    <mergeCell ref="A1:H1"/>
    <mergeCell ref="B19:H19"/>
    <mergeCell ref="B20:H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44" customWidth="1" min="4" max="4"/>
    <col width="40" customWidth="1" min="5" max="5"/>
    <col width="52" customWidth="1" min="6" max="6"/>
    <col width="24" customWidth="1" min="7" max="7"/>
    <col width="14" customWidth="1" min="8" max="8"/>
    <col width="14" customWidth="1" min="9" max="9"/>
  </cols>
  <sheetData>
    <row r="1">
      <c r="A1" s="1" t="inlineStr">
        <is>
          <t>Idea 来源雷达：8 类源 × 分工 × 监测节奏</t>
        </is>
      </c>
    </row>
    <row r="2">
      <c r="A2" s="24" t="inlineStr">
        <is>
          <t>核心原则：8 个源不是并列的，而是分工的 —— 价值源定「测什么值得测」，难度源定「哪里有 Failure」，设计源定「怎么测」。好 Idea = 价值源 × 难度源 × 设计源 三者交叉。</t>
        </is>
      </c>
    </row>
    <row r="4" ht="40" customHeight="1">
      <c r="A4" s="3" t="inlineStr">
        <is>
          <t>#</t>
        </is>
      </c>
      <c r="B4" s="3" t="inlineStr">
        <is>
          <t>来源</t>
        </is>
      </c>
      <c r="C4" s="3" t="inlineStr">
        <is>
          <t>分工类型</t>
        </is>
      </c>
      <c r="D4" s="3" t="inlineStr">
        <is>
          <t>具体信息源 / 代表</t>
        </is>
      </c>
      <c r="E4" s="3" t="inlineStr">
        <is>
          <t>监测什么（重点不是照搬题）</t>
        </is>
      </c>
      <c r="F4" s="3" t="inlineStr">
        <is>
          <t>关键信号 → 立即记 Idea</t>
        </is>
      </c>
      <c r="G4" s="3" t="inlineStr">
        <is>
          <t>能保证的 Gate</t>
        </is>
      </c>
      <c r="H4" s="3" t="inlineStr">
        <is>
          <t>频率</t>
        </is>
      </c>
      <c r="I4" s="3" t="inlineStr">
        <is>
          <t>负责人 / 上次扫描</t>
        </is>
      </c>
    </row>
    <row r="5" ht="108" customHeight="1">
      <c r="A5" s="14" t="inlineStr">
        <is>
          <t>S1</t>
        </is>
      </c>
      <c r="B5" s="25" t="inlineStr">
        <is>
          <t>现有 Benchmark
/ Leaderboard</t>
        </is>
      </c>
      <c r="C5" s="26" t="inlineStr">
        <is>
          <t>设计源</t>
        </is>
      </c>
      <c r="D5" s="5" t="inlineStr">
        <is>
          <t>GAIA / Humanity's Last Exam / BrowseComp / SWE-bench Verified / τ²-bench
MedBench·LawBench·CNFinBench·CFBenchmark·FinanceBench
OpenCompass 司南 / LMArena / Vals AI</t>
        </is>
      </c>
      <c r="E5" s="5" t="inlineStr">
        <is>
          <t>① taxonomy 怎么切能力
② task design 怎么把能力变成可判分任务
③ 它自己披露的 failure case
④ SOTA 分数与饱和度
（重点不是照搬题）</t>
        </is>
      </c>
      <c r="F5" s="5" t="inlineStr">
        <is>
          <t>• Top 模型 &gt;90% 且密集 → 已饱和
• taxonomy 有明显缺项 → 覆盖不深
• 只有单轮 QA → 可升级为任务式
• 半年增幅 &gt;15pt → 疑似污染</t>
        </is>
      </c>
      <c r="G5" s="13" t="inlineStr">
        <is>
          <t>④可客观评判
⑤指导迭代
差异化定位</t>
        </is>
      </c>
      <c r="H5" s="13" t="inlineStr">
        <is>
          <t>每周</t>
        </is>
      </c>
      <c r="I5" s="9" t="inlineStr">
        <is>
          <t>PM</t>
        </is>
      </c>
    </row>
    <row r="6" ht="108" customHeight="1">
      <c r="A6" s="14" t="inlineStr">
        <is>
          <t>S2</t>
        </is>
      </c>
      <c r="B6" s="25" t="inlineStr">
        <is>
          <t>真实用户 Query</t>
        </is>
      </c>
      <c r="C6" s="27" t="inlineStr">
        <is>
          <t>价值源 ⭐⭐⭐</t>
        </is>
      </c>
      <c r="D6" s="5" t="inlineStr">
        <is>
          <t>线上请求日志 / 客服与工单记录 / 用户反馈 / 搜索词 / 甲方提供的真实场景样本</t>
        </is>
      </c>
      <c r="E6" s="5" t="inlineStr">
        <is>
          <t>Query 聚类 → 找「高频 × 高价值 × 当前模型表现差」的簇
注意：用户要的往往不是考试题</t>
        </is>
      </c>
      <c r="F6" s="5" t="inlineStr">
        <is>
          <t>• 高频簇 + 模型表现差 → 头号候选
• 例：金融用户要的不是 CFA 选择题，
  而是「读财报→找异常→引用证据→给结论」
• 用户反复换问法 = 模型没答好</t>
        </is>
      </c>
      <c r="G6" s="13" t="inlineStr">
        <is>
          <t>①真实任务价值（最强）
明确使用者与场景</t>
        </is>
      </c>
      <c r="H6" s="13" t="inlineStr">
        <is>
          <t>每周聚类</t>
        </is>
      </c>
      <c r="I6" s="9" t="inlineStr">
        <is>
          <t>PM + 数据</t>
        </is>
      </c>
    </row>
    <row r="7" ht="108" customHeight="1">
      <c r="A7" s="14" t="inlineStr">
        <is>
          <t>S3</t>
        </is>
      </c>
      <c r="B7" s="25" t="inlineStr">
        <is>
          <t>模型 Failure Case</t>
        </is>
      </c>
      <c r="C7" s="28" t="inlineStr">
        <is>
          <t>难度源 ⭐⭐⭐
最值得持续挖</t>
        </is>
      </c>
      <c r="D7" s="5" t="inlineStr">
        <is>
          <t>拿当前 SOTA 跑真实任务采集失败 / 内部 BadCase 库 / 专家挑错记录 / 线上负反馈</t>
        </is>
      </c>
      <c r="E7" s="5" t="inlineStr">
        <is>
          <t>把失败案例沉淀 → 归类失败模式 → 抽象成可评测的能力
（Failure → Capability 的抽象是关键动作）</t>
        </is>
      </c>
      <c r="F7" s="5" t="inlineStr">
        <is>
          <t>• 同类错误反复出现 → 能力缺口
• 例：长 PDF 总引用错数字 → 抽象为
  Long-context retrieval + Numerical grounding
  + Cross-page reasoning + Citation correctness</t>
        </is>
      </c>
      <c r="G7" s="13" t="inlineStr">
        <is>
          <t>②明显Failure（最强）
③区分度</t>
        </is>
      </c>
      <c r="H7" s="13" t="inlineStr">
        <is>
          <t>每周归类</t>
        </is>
      </c>
      <c r="I7" s="9" t="inlineStr">
        <is>
          <t>PM + 算法</t>
        </is>
      </c>
    </row>
    <row r="8" ht="108" customHeight="1">
      <c r="A8" s="14" t="inlineStr">
        <is>
          <t>S4</t>
        </is>
      </c>
      <c r="B8" s="25" t="inlineStr">
        <is>
          <t>专家工作流</t>
        </is>
      </c>
      <c r="C8" s="27" t="inlineStr">
        <is>
          <t>价值源 ⭐⭐⭐</t>
        </is>
      </c>
      <c r="D8" s="5" t="inlineStr">
        <is>
          <t>律师 / 医生 / 金融分析师 / 科研人员 / 注会 的真实日常工作</t>
        </is>
      </c>
      <c r="E8" s="5" t="inlineStr">
        <is>
          <t>研究他们每天到底在完成什么工作、卡在哪里
⛔ 反模式：问专家「给我出 100 道难题」</t>
        </is>
      </c>
      <c r="F8" s="5" t="inlineStr">
        <is>
          <t>✅ 专家三问法（必背）：
• 你工作中最难的 5 件事是什么？
• 新人最容易在哪犯错？
• 什么任务你一看就知道对方专不专业？
→ 这三问的回答直接变成 Rubric 核心项</t>
        </is>
      </c>
      <c r="G8" s="13" t="inlineStr">
        <is>
          <t>①真实任务价值
⑧权威性可采信
Rubric 设计依据</t>
        </is>
      </c>
      <c r="H8" s="13" t="inlineStr">
        <is>
          <t>每月 1-2 场</t>
        </is>
      </c>
      <c r="I8" s="9" t="inlineStr">
        <is>
          <t>PM + 专家</t>
        </is>
      </c>
    </row>
    <row r="9" ht="108" customHeight="1">
      <c r="A9" s="14" t="inlineStr">
        <is>
          <t>S5</t>
        </is>
      </c>
      <c r="B9" s="25" t="inlineStr">
        <is>
          <t>产品 / Agent 场景</t>
        </is>
      </c>
      <c r="C9" s="26" t="inlineStr">
        <is>
          <t>设计源</t>
        </is>
      </c>
      <c r="D9" s="5" t="inlineStr">
        <is>
          <t>Deep Research / Browser Agent / Computer Use / Coding Agent / 搜索与检索增强</t>
        </is>
      </c>
      <c r="E9" s="5" t="inlineStr">
        <is>
          <t>模型正在从「回答问题」走向哪些任务形态
→ 垂类评测同步从单轮 QA 升级为「完成一个专业任务」</t>
        </is>
      </c>
      <c r="F9" s="5" t="inlineStr">
        <is>
          <t>• 新任务形态出现 → 垂类版本几乎必然空白
• 单轮 QA 的垂类 bench → 可升级为任务式
• 工具调用 / 多步规划 / 轨迹评分 是蓝海</t>
        </is>
      </c>
      <c r="G9" s="13" t="inlineStr">
        <is>
          <t>④可客观评判（任务可判定）
时效性与前瞻性</t>
        </is>
      </c>
      <c r="H9" s="13" t="inlineStr">
        <is>
          <t>每月</t>
        </is>
      </c>
      <c r="I9" s="9" t="inlineStr">
        <is>
          <t>PM</t>
        </is>
      </c>
    </row>
    <row r="10" ht="108" customHeight="1">
      <c r="A10" s="14" t="inlineStr">
        <is>
          <t>S6</t>
        </is>
      </c>
      <c r="B10" s="25" t="inlineStr">
        <is>
          <t>论文与新能力</t>
        </is>
      </c>
      <c r="C10" s="28" t="inlineStr">
        <is>
          <t>难度源</t>
        </is>
      </c>
      <c r="D10" s="5" t="inlineStr">
        <is>
          <t>arXiv 关键词订阅 / NeurIPS D&amp;B Track / ICLR / ACL·EMNLP / NEJM AI / Nature Digital Medicine</t>
        </is>
      </c>
      <c r="E10" s="5" t="inlineStr">
        <is>
          <t>看论文不为学算法，为找 evaluation idea
可与垂类结合的新能力维度</t>
        </is>
      </c>
      <c r="F10" s="5" t="inlineStr">
        <is>
          <t>• hallucination / uncertainty calibration
• long context / multimodal reasoning
• tool use / citation correctness
• self-correction / agent planning
• 论文 Limitations 章节 ← 最高价值来源</t>
        </is>
      </c>
      <c r="G10" s="13" t="inlineStr">
        <is>
          <t>②明显Failure
⚠ ①真实价值需另行验证</t>
        </is>
      </c>
      <c r="H10" s="13" t="inlineStr">
        <is>
          <t>每日 10 分钟</t>
        </is>
      </c>
      <c r="I10" s="9" t="inlineStr">
        <is>
          <t>PM</t>
        </is>
      </c>
    </row>
    <row r="11" ht="108" customHeight="1">
      <c r="A11" s="14" t="inlineStr">
        <is>
          <t>S7</t>
        </is>
      </c>
      <c r="B11" s="25" t="inlineStr">
        <is>
          <t>竞品模型差异</t>
        </is>
      </c>
      <c r="C11" s="28" t="inlineStr">
        <is>
          <t>难度源 ⭐⭐
最便宜的验证器</t>
        </is>
      </c>
      <c r="D11" s="5" t="inlineStr">
        <is>
          <t>同一批任务跑 GPT / Claude / Gemini / DeepSeek / Qwen 等</t>
        </is>
      </c>
      <c r="E11" s="5" t="inlineStr">
        <is>
          <t>看模型之间在哪类任务上差距特别大
（20 题 × 4 模型即可，成本极低）</t>
        </is>
      </c>
      <c r="F11" s="5" t="inlineStr">
        <is>
          <t>• 模型间差距大 → 优质 Benchmark 候选
• 无区分度的题通常价值有限 → 直接否决
• 排序与公认能力一致 → 信号可信
• 排序混乱 → 是噪声不是区分度</t>
        </is>
      </c>
      <c r="G11" s="13" t="inlineStr">
        <is>
          <t>③区分度（直接验证）</t>
        </is>
      </c>
      <c r="H11" s="13" t="inlineStr">
        <is>
          <t>每次有新模型
+ 每轮探针</t>
        </is>
      </c>
      <c r="I11" s="9" t="inlineStr">
        <is>
          <t>PM + 算法</t>
        </is>
      </c>
    </row>
    <row r="12" ht="108" customHeight="1">
      <c r="A12" s="14" t="inlineStr">
        <is>
          <t>S8</t>
        </is>
      </c>
      <c r="B12" s="25" t="inlineStr">
        <is>
          <t>业务方反馈
（不确定性）</t>
        </is>
      </c>
      <c r="C12" s="27" t="inlineStr">
        <is>
          <t>价值源 ⭐⭐⭐</t>
        </is>
      </c>
      <c r="D12" s="5" t="inlineStr">
        <is>
          <t>模型团队 / 产品团队 / 甲方决策者 / 招投标技术评分表</t>
        </is>
      </c>
      <c r="E12" s="5" t="inlineStr">
        <is>
          <t>核心问法：「现在最不知道模型哪项能力到底行不行？」
这种不确定性本身就是 Benchmark Idea</t>
        </is>
      </c>
      <c r="F12" s="5" t="inlineStr">
        <is>
          <t>• 例：团队不知道新模型有没有提升 PDF 财务分析
  → 专门设计这一能力集
• 「上次选模型最纠结什么」
• 招标技术评分项 = 现成能力清单
• 厂商集体回避的能力 = 评测空白</t>
        </is>
      </c>
      <c r="G12" s="13" t="inlineStr">
        <is>
          <t>①真实价值中的「谁用」
⑤指导迭代（需求方明确）</t>
        </is>
      </c>
      <c r="H12" s="13" t="inlineStr">
        <is>
          <t>每两周同步</t>
        </is>
      </c>
      <c r="I12" s="9" t="inlineStr">
        <is>
          <t>PM</t>
        </is>
      </c>
    </row>
    <row r="14">
      <c r="A14" s="17" t="inlineStr">
        <is>
          <t>分工说明：三类源各自的能力与致命缺陷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40" customHeight="1">
      <c r="A15" s="31" t="inlineStr">
        <is>
          <t>价值源</t>
        </is>
      </c>
      <c r="B15" s="5" t="inlineStr">
        <is>
          <t>S2 真实用户Query / S4 专家工作流 / S8 业务方不确定性</t>
        </is>
      </c>
      <c r="C15" s="23" t="n"/>
      <c r="D15" s="23" t="n"/>
      <c r="E15" s="5" t="inlineStr">
        <is>
          <t>保证 ①真实任务价值、⑧权威性，明确使用者与决策场景</t>
        </is>
      </c>
      <c r="F15" s="23" t="n"/>
      <c r="G15" s="32" t="inlineStr">
        <is>
          <t>⚠ 单独用的缺陷：不知道模型是否真做不好 → 可能做完发现已饱和</t>
        </is>
      </c>
      <c r="H15" s="23" t="n"/>
      <c r="I15" s="23" t="n"/>
    </row>
    <row r="16" ht="40" customHeight="1">
      <c r="A16" s="33" t="inlineStr">
        <is>
          <t>难度源</t>
        </is>
      </c>
      <c r="B16" s="5" t="inlineStr">
        <is>
          <t>S3 Failure Case / S7 竞品模型差异 / S6 论文与新能力</t>
        </is>
      </c>
      <c r="C16" s="23" t="n"/>
      <c r="D16" s="23" t="n"/>
      <c r="E16" s="5" t="inlineStr">
        <is>
          <t>保证 ②明显Failure、③区分度</t>
        </is>
      </c>
      <c r="F16" s="23" t="n"/>
      <c r="G16" s="32" t="inlineStr">
        <is>
          <t>⚠ 单独用的缺陷：不知道该 failure 在真实工作流里重不重要 → 伪需求</t>
        </is>
      </c>
      <c r="H16" s="23" t="n"/>
      <c r="I16" s="23" t="n"/>
    </row>
    <row r="17" ht="40" customHeight="1">
      <c r="A17" s="34" t="inlineStr">
        <is>
          <t>设计源</t>
        </is>
      </c>
      <c r="B17" s="5" t="inlineStr">
        <is>
          <t>S1 现有Benchmark taxonomy / S5 产品与Agent场景</t>
        </is>
      </c>
      <c r="C17" s="23" t="n"/>
      <c r="D17" s="23" t="n"/>
      <c r="E17" s="5" t="inlineStr">
        <is>
          <t>保证 ④可客观评判、⑤指导迭代，确定差异化定位</t>
        </is>
      </c>
      <c r="F17" s="23" t="n"/>
      <c r="G17" s="32" t="inlineStr">
        <is>
          <t>⚠ 单独用的缺陷：容易变成别人 benchmark 的补丁，缺原生价值</t>
        </is>
      </c>
      <c r="H17" s="23" t="n"/>
      <c r="I17" s="23" t="n"/>
    </row>
  </sheetData>
  <mergeCells count="12">
    <mergeCell ref="G16:I16"/>
    <mergeCell ref="A2:I2"/>
    <mergeCell ref="E16:F16"/>
    <mergeCell ref="E15:F15"/>
    <mergeCell ref="A14:I14"/>
    <mergeCell ref="A1:I1"/>
    <mergeCell ref="B16:D16"/>
    <mergeCell ref="B17:D17"/>
    <mergeCell ref="G17:I17"/>
    <mergeCell ref="B15:D15"/>
    <mergeCell ref="E17:F17"/>
    <mergeCell ref="G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5" customWidth="1" min="4" max="4"/>
    <col width="13" customWidth="1" min="5" max="5"/>
    <col width="14" customWidth="1" min="6" max="6"/>
    <col width="12" customWidth="1" min="7" max="7"/>
    <col width="40" customWidth="1" min="8" max="8"/>
  </cols>
  <sheetData>
    <row r="1">
      <c r="A1" s="1" t="inlineStr">
        <is>
          <t>能力 × 评测范式 空白格矩阵（示例：医疗垂类）</t>
        </is>
      </c>
    </row>
    <row r="2">
      <c r="A2" s="2" t="inlineStr">
        <is>
          <t>用法：把你负责的垂类画成此表 → 标注饱和度 → 空白格即 Idea → 送入 01_Idea池 打分</t>
        </is>
      </c>
    </row>
    <row r="4" ht="34" customHeight="1">
      <c r="A4" s="3" t="inlineStr">
        <is>
          <t>能力维度 \ 评测范式</t>
        </is>
      </c>
      <c r="B4" s="3" t="inlineStr">
        <is>
          <t>选择题</t>
        </is>
      </c>
      <c r="C4" s="3" t="inlineStr">
        <is>
          <t>开放问答</t>
        </is>
      </c>
      <c r="D4" s="3" t="inlineStr">
        <is>
          <t>Rubric 评分</t>
        </is>
      </c>
      <c r="E4" s="3" t="inlineStr">
        <is>
          <t>多轮交互</t>
        </is>
      </c>
      <c r="F4" s="3" t="inlineStr">
        <is>
          <t>Agent 任务</t>
        </is>
      </c>
      <c r="G4" s="3" t="inlineStr">
        <is>
          <t>多模态</t>
        </is>
      </c>
      <c r="H4" s="3" t="inlineStr">
        <is>
          <t>空白格机会说明</t>
        </is>
      </c>
    </row>
    <row r="5" ht="26" customHeight="1">
      <c r="A5" s="35" t="inlineStr">
        <is>
          <t>知识记忆</t>
        </is>
      </c>
      <c r="B5" s="36" t="inlineStr">
        <is>
          <t>●饱和</t>
        </is>
      </c>
      <c r="C5" s="36" t="inlineStr">
        <is>
          <t>●饱和</t>
        </is>
      </c>
      <c r="D5" s="13" t="inlineStr">
        <is>
          <t>—</t>
        </is>
      </c>
      <c r="E5" s="13" t="inlineStr">
        <is>
          <t>—</t>
        </is>
      </c>
      <c r="F5" s="13" t="inlineStr">
        <is>
          <t>—</t>
        </is>
      </c>
      <c r="G5" s="13" t="inlineStr">
        <is>
          <t>○少</t>
        </is>
      </c>
      <c r="H5" s="5" t="inlineStr">
        <is>
          <t>无机会，勿入</t>
        </is>
      </c>
    </row>
    <row r="6" ht="26" customHeight="1">
      <c r="A6" s="35" t="inlineStr">
        <is>
          <t>鉴别诊断</t>
        </is>
      </c>
      <c r="B6" s="36" t="inlineStr">
        <is>
          <t>●饱和</t>
        </is>
      </c>
      <c r="C6" s="13" t="inlineStr">
        <is>
          <t>◐较多</t>
        </is>
      </c>
      <c r="D6" s="37" t="inlineStr">
        <is>
          <t>★在做</t>
        </is>
      </c>
      <c r="E6" s="13" t="inlineStr">
        <is>
          <t>○少</t>
        </is>
      </c>
      <c r="F6" s="38" t="inlineStr">
        <is>
          <t>□空白</t>
        </is>
      </c>
      <c r="G6" s="13" t="inlineStr">
        <is>
          <t>○少</t>
        </is>
      </c>
      <c r="H6" s="5" t="inlineStr">
        <is>
          <t>Agent 化鉴别诊断为空白</t>
        </is>
      </c>
    </row>
    <row r="7" ht="26" customHeight="1">
      <c r="A7" s="35" t="inlineStr">
        <is>
          <t>治疗方案制定</t>
        </is>
      </c>
      <c r="B7" s="13" t="inlineStr">
        <is>
          <t>◐较多</t>
        </is>
      </c>
      <c r="C7" s="13" t="inlineStr">
        <is>
          <t>○少</t>
        </is>
      </c>
      <c r="D7" s="37" t="inlineStr">
        <is>
          <t>★缺口</t>
        </is>
      </c>
      <c r="E7" s="38" t="inlineStr">
        <is>
          <t>□空白</t>
        </is>
      </c>
      <c r="F7" s="38" t="inlineStr">
        <is>
          <t>□空白</t>
        </is>
      </c>
      <c r="G7" s="13" t="inlineStr">
        <is>
          <t>—</t>
        </is>
      </c>
      <c r="H7" s="5" t="inlineStr">
        <is>
          <t>Rubric 化治疗方案评测是明确缺口</t>
        </is>
      </c>
    </row>
    <row r="8" ht="26" customHeight="1">
      <c r="A8" s="35" t="inlineStr">
        <is>
          <t>用药安全</t>
        </is>
      </c>
      <c r="B8" s="13" t="inlineStr">
        <is>
          <t>○少</t>
        </is>
      </c>
      <c r="C8" s="38" t="inlineStr">
        <is>
          <t>□空白</t>
        </is>
      </c>
      <c r="D8" s="39" t="inlineStr">
        <is>
          <t>★★大缺口</t>
        </is>
      </c>
      <c r="E8" s="38" t="inlineStr">
        <is>
          <t>□空白</t>
        </is>
      </c>
      <c r="F8" s="38" t="inlineStr">
        <is>
          <t>□空白</t>
        </is>
      </c>
      <c r="G8" s="13" t="inlineStr">
        <is>
          <t>—</t>
        </is>
      </c>
      <c r="H8" s="5" t="inlineStr">
        <is>
          <t>最高优先级缺口（ID-01）</t>
        </is>
      </c>
    </row>
    <row r="9" ht="26" customHeight="1">
      <c r="A9" s="35" t="inlineStr">
        <is>
          <t>指南溯源 / 循证</t>
        </is>
      </c>
      <c r="B9" s="38" t="inlineStr">
        <is>
          <t>□空白</t>
        </is>
      </c>
      <c r="C9" s="38" t="inlineStr">
        <is>
          <t>□空白</t>
        </is>
      </c>
      <c r="D9" s="39" t="inlineStr">
        <is>
          <t>★★优势区</t>
        </is>
      </c>
      <c r="E9" s="13" t="inlineStr">
        <is>
          <t>—</t>
        </is>
      </c>
      <c r="F9" s="38" t="inlineStr">
        <is>
          <t>□空白</t>
        </is>
      </c>
      <c r="G9" s="13" t="inlineStr">
        <is>
          <t>—</t>
        </is>
      </c>
      <c r="H9" s="5" t="inlineStr">
        <is>
          <t>自研优势方向（ID-02）</t>
        </is>
      </c>
    </row>
    <row r="10" ht="26" customHeight="1">
      <c r="A10" s="35" t="inlineStr">
        <is>
          <t>长病历理解</t>
        </is>
      </c>
      <c r="B10" s="38" t="inlineStr">
        <is>
          <t>□空白</t>
        </is>
      </c>
      <c r="C10" s="13" t="inlineStr">
        <is>
          <t>○少</t>
        </is>
      </c>
      <c r="D10" s="13" t="inlineStr">
        <is>
          <t>○少</t>
        </is>
      </c>
      <c r="E10" s="13" t="inlineStr">
        <is>
          <t>—</t>
        </is>
      </c>
      <c r="F10" s="38" t="inlineStr">
        <is>
          <t>□空白</t>
        </is>
      </c>
      <c r="G10" s="38" t="inlineStr">
        <is>
          <t>□空白</t>
        </is>
      </c>
      <c r="H10" s="5" t="inlineStr">
        <is>
          <t>长上下文垂类评测普遍空白（ID-04）</t>
        </is>
      </c>
    </row>
    <row r="11" ht="26" customHeight="1">
      <c r="A11" s="35" t="inlineStr">
        <is>
          <t>医患沟通</t>
        </is>
      </c>
      <c r="B11" s="13" t="inlineStr">
        <is>
          <t>—</t>
        </is>
      </c>
      <c r="C11" s="13" t="inlineStr">
        <is>
          <t>○少</t>
        </is>
      </c>
      <c r="D11" s="13" t="inlineStr">
        <is>
          <t>○少</t>
        </is>
      </c>
      <c r="E11" s="37" t="inlineStr">
        <is>
          <t>★缺口</t>
        </is>
      </c>
      <c r="F11" s="38" t="inlineStr">
        <is>
          <t>□空白</t>
        </is>
      </c>
      <c r="G11" s="13" t="inlineStr">
        <is>
          <t>—</t>
        </is>
      </c>
      <c r="H11" s="5" t="inlineStr">
        <is>
          <t>多轮交互评测最空白（ID-03）</t>
        </is>
      </c>
    </row>
    <row r="12" ht="26" customHeight="1">
      <c r="A12" s="35" t="inlineStr">
        <is>
          <t>安全 / 拒答边界</t>
        </is>
      </c>
      <c r="B12" s="13" t="inlineStr">
        <is>
          <t>○少</t>
        </is>
      </c>
      <c r="C12" s="13" t="inlineStr">
        <is>
          <t>○少</t>
        </is>
      </c>
      <c r="D12" s="37" t="inlineStr">
        <is>
          <t>★缺口</t>
        </is>
      </c>
      <c r="E12" s="38" t="inlineStr">
        <is>
          <t>□空白</t>
        </is>
      </c>
      <c r="F12" s="38" t="inlineStr">
        <is>
          <t>□空白</t>
        </is>
      </c>
      <c r="G12" s="13" t="inlineStr">
        <is>
          <t>—</t>
        </is>
      </c>
      <c r="H12" s="5" t="inlineStr">
        <is>
          <t>合规驱动刚需（ID-05）</t>
        </is>
      </c>
    </row>
    <row r="13" ht="26" customHeight="1">
      <c r="A13" s="35" t="inlineStr">
        <is>
          <t>工具调用 / 计算</t>
        </is>
      </c>
      <c r="B13" s="38" t="inlineStr">
        <is>
          <t>□空白</t>
        </is>
      </c>
      <c r="C13" s="38" t="inlineStr">
        <is>
          <t>□空白</t>
        </is>
      </c>
      <c r="D13" s="38" t="inlineStr">
        <is>
          <t>□空白</t>
        </is>
      </c>
      <c r="E13" s="38" t="inlineStr">
        <is>
          <t>□空白</t>
        </is>
      </c>
      <c r="F13" s="39" t="inlineStr">
        <is>
          <t>★★大缺口</t>
        </is>
      </c>
      <c r="G13" s="13" t="inlineStr">
        <is>
          <t>—</t>
        </is>
      </c>
      <c r="H13" s="5" t="inlineStr">
        <is>
          <t>垂类 Agent 评测蓝海（ID-12）</t>
        </is>
      </c>
    </row>
    <row r="15">
      <c r="A15" s="40" t="inlineStr">
        <is>
          <t>图例</t>
        </is>
      </c>
    </row>
    <row r="16">
      <c r="A16" s="4" t="inlineStr">
        <is>
          <t>●饱和</t>
        </is>
      </c>
      <c r="B16" s="5" t="inlineStr">
        <is>
          <t>已有成熟 benchmark 且 SOTA 高分 → 无机会</t>
        </is>
      </c>
      <c r="C16" s="23" t="n"/>
      <c r="D16" s="23" t="n"/>
      <c r="E16" s="23" t="n"/>
      <c r="F16" s="23" t="n"/>
      <c r="G16" s="23" t="n"/>
      <c r="H16" s="23" t="n"/>
    </row>
    <row r="17">
      <c r="A17" s="4" t="inlineStr">
        <is>
          <t>◐较多</t>
        </is>
      </c>
      <c r="B17" s="5" t="inlineStr">
        <is>
          <t>已有多个 benchmark，需找差异化角度</t>
        </is>
      </c>
      <c r="C17" s="23" t="n"/>
      <c r="D17" s="23" t="n"/>
      <c r="E17" s="23" t="n"/>
      <c r="F17" s="23" t="n"/>
      <c r="G17" s="23" t="n"/>
      <c r="H17" s="23" t="n"/>
    </row>
    <row r="18">
      <c r="A18" s="4" t="inlineStr">
        <is>
          <t>○少</t>
        </is>
      </c>
      <c r="B18" s="5" t="inlineStr">
        <is>
          <t>仅有零星工作 → 有机会</t>
        </is>
      </c>
      <c r="C18" s="23" t="n"/>
      <c r="D18" s="23" t="n"/>
      <c r="E18" s="23" t="n"/>
      <c r="F18" s="23" t="n"/>
      <c r="G18" s="23" t="n"/>
      <c r="H18" s="23" t="n"/>
    </row>
    <row r="19">
      <c r="A19" s="4" t="inlineStr">
        <is>
          <t>□空白</t>
        </is>
      </c>
      <c r="B19" s="5" t="inlineStr">
        <is>
          <t>基本无人做 → 潜在机会，但需验证真实价值</t>
        </is>
      </c>
      <c r="C19" s="23" t="n"/>
      <c r="D19" s="23" t="n"/>
      <c r="E19" s="23" t="n"/>
      <c r="F19" s="23" t="n"/>
      <c r="G19" s="23" t="n"/>
      <c r="H19" s="23" t="n"/>
    </row>
    <row r="20">
      <c r="A20" s="4" t="inlineStr">
        <is>
          <t>★缺口</t>
        </is>
      </c>
      <c r="B20" s="5" t="inlineStr">
        <is>
          <t>空白 + 高真实价值 → 优先候选</t>
        </is>
      </c>
      <c r="C20" s="23" t="n"/>
      <c r="D20" s="23" t="n"/>
      <c r="E20" s="23" t="n"/>
      <c r="F20" s="23" t="n"/>
      <c r="G20" s="23" t="n"/>
      <c r="H20" s="23" t="n"/>
    </row>
    <row r="21">
      <c r="A21" s="4" t="inlineStr">
        <is>
          <t>★★大缺口</t>
        </is>
      </c>
      <c r="B21" s="5" t="inlineStr">
        <is>
          <t>空白 + 高价值 + 有 Failure → 立即立项候选</t>
        </is>
      </c>
      <c r="C21" s="23" t="n"/>
      <c r="D21" s="23" t="n"/>
      <c r="E21" s="23" t="n"/>
      <c r="F21" s="23" t="n"/>
      <c r="G21" s="23" t="n"/>
      <c r="H21" s="23" t="n"/>
    </row>
    <row r="22">
      <c r="A22" s="4" t="inlineStr">
        <is>
          <t>—</t>
        </is>
      </c>
      <c r="B22" s="5" t="inlineStr">
        <is>
          <t>该组合不适用</t>
        </is>
      </c>
      <c r="C22" s="23" t="n"/>
      <c r="D22" s="23" t="n"/>
      <c r="E22" s="23" t="n"/>
      <c r="F22" s="23" t="n"/>
      <c r="G22" s="23" t="n"/>
      <c r="H22" s="23" t="n"/>
    </row>
  </sheetData>
  <mergeCells count="9">
    <mergeCell ref="B22:H22"/>
    <mergeCell ref="B17:H17"/>
    <mergeCell ref="B18:H18"/>
    <mergeCell ref="B21:H21"/>
    <mergeCell ref="A2:H2"/>
    <mergeCell ref="B16:H16"/>
    <mergeCell ref="A1:H1"/>
    <mergeCell ref="B19:H19"/>
    <mergeCell ref="B20:H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2" customWidth="1" min="4" max="4"/>
    <col width="12" customWidth="1" min="5" max="5"/>
    <col width="14" customWidth="1" min="6" max="6"/>
    <col width="9" customWidth="1" min="7" max="7"/>
    <col width="15" customWidth="1" min="8" max="8"/>
    <col width="12" customWidth="1" min="9" max="9"/>
    <col width="38" customWidth="1" min="10" max="10"/>
  </cols>
  <sheetData>
    <row r="1">
      <c r="A1" s="1" t="inlineStr">
        <is>
          <t>现有 Benchmark 饱和度监测（月度更新 SOTA 分数）</t>
        </is>
      </c>
    </row>
    <row r="3" ht="34" customHeight="1">
      <c r="A3" s="3" t="inlineStr">
        <is>
          <t>Benchmark</t>
        </is>
      </c>
      <c r="B3" s="3" t="inlineStr">
        <is>
          <t>垂类</t>
        </is>
      </c>
      <c r="C3" s="3" t="inlineStr">
        <is>
          <t>题型</t>
        </is>
      </c>
      <c r="D3" s="3" t="inlineStr">
        <is>
          <t>规模</t>
        </is>
      </c>
      <c r="E3" s="3" t="inlineStr">
        <is>
          <t>SOTA 得分%</t>
        </is>
      </c>
      <c r="F3" s="3" t="inlineStr">
        <is>
          <t>半年前得分%</t>
        </is>
      </c>
      <c r="G3" s="3" t="inlineStr">
        <is>
          <t>增幅</t>
        </is>
      </c>
      <c r="H3" s="3" t="inlineStr">
        <is>
          <t>饱和判定</t>
        </is>
      </c>
      <c r="I3" s="3" t="inlineStr">
        <is>
          <t>上次更新</t>
        </is>
      </c>
      <c r="J3" s="3" t="inlineStr">
        <is>
          <t>衍生 Idea 机会</t>
        </is>
      </c>
    </row>
    <row r="4">
      <c r="A4" s="9" t="inlineStr">
        <is>
          <t>MedQA (USMLE)</t>
        </is>
      </c>
      <c r="B4" s="10" t="inlineStr">
        <is>
          <t>医疗</t>
        </is>
      </c>
      <c r="C4" s="10" t="inlineStr">
        <is>
          <t>选择题</t>
        </is>
      </c>
      <c r="D4" s="10" t="inlineStr">
        <is>
          <t>~12K</t>
        </is>
      </c>
      <c r="E4" s="41" t="n">
        <v>93</v>
      </c>
      <c r="F4" s="41" t="n">
        <v>91</v>
      </c>
      <c r="G4" s="42">
        <f>IF(F4="","-",E4-F4)</f>
        <v/>
      </c>
      <c r="H4" s="14">
        <f>IF(E4&gt;=90,"⛔已饱和",IF(E4&gt;=80,"⚠接近饱和",IF(AND(F4&lt;&gt;"",E4-F4&gt;=15),"⚠疑似污染","✓仍有空间")))</f>
        <v/>
      </c>
      <c r="I4" s="10" t="inlineStr">
        <is>
          <t>2020</t>
        </is>
      </c>
      <c r="J4" s="9" t="inlineStr">
        <is>
          <t>已饱和 → 转开放式/Rubric</t>
        </is>
      </c>
    </row>
    <row r="5">
      <c r="A5" s="9" t="inlineStr">
        <is>
          <t>MedQA (MCMLE)</t>
        </is>
      </c>
      <c r="B5" s="10" t="inlineStr">
        <is>
          <t>医疗</t>
        </is>
      </c>
      <c r="C5" s="10" t="inlineStr">
        <is>
          <t>选择题</t>
        </is>
      </c>
      <c r="D5" s="10" t="inlineStr">
        <is>
          <t>~34K</t>
        </is>
      </c>
      <c r="E5" s="41" t="n">
        <v>89</v>
      </c>
      <c r="F5" s="41" t="n">
        <v>85</v>
      </c>
      <c r="G5" s="42">
        <f>IF(F5="","-",E5-F5)</f>
        <v/>
      </c>
      <c r="H5" s="14">
        <f>IF(E5&gt;=90,"⛔已饱和",IF(E5&gt;=80,"⚠接近饱和",IF(AND(F5&lt;&gt;"",E5-F5&gt;=15),"⚠疑似污染","✓仍有空间")))</f>
        <v/>
      </c>
      <c r="I5" s="10" t="inlineStr">
        <is>
          <t>2020</t>
        </is>
      </c>
      <c r="J5" s="9" t="inlineStr">
        <is>
          <t>接近饱和 → 提难度</t>
        </is>
      </c>
    </row>
    <row r="6">
      <c r="A6" s="9" t="inlineStr">
        <is>
          <t>CMB</t>
        </is>
      </c>
      <c r="B6" s="10" t="inlineStr">
        <is>
          <t>医疗</t>
        </is>
      </c>
      <c r="C6" s="10" t="inlineStr">
        <is>
          <t>选择题</t>
        </is>
      </c>
      <c r="D6" s="10" t="inlineStr">
        <is>
          <t>280K+</t>
        </is>
      </c>
      <c r="E6" s="41" t="n">
        <v>86</v>
      </c>
      <c r="F6" s="41" t="n">
        <v>80</v>
      </c>
      <c r="G6" s="42">
        <f>IF(F6="","-",E6-F6)</f>
        <v/>
      </c>
      <c r="H6" s="14">
        <f>IF(E6&gt;=90,"⛔已饱和",IF(E6&gt;=80,"⚠接近饱和",IF(AND(F6&lt;&gt;"",E6-F6&gt;=15),"⚠疑似污染","✓仍有空间")))</f>
        <v/>
      </c>
      <c r="I6" s="10" t="inlineStr">
        <is>
          <t>2023</t>
        </is>
      </c>
      <c r="J6" s="9" t="inlineStr">
        <is>
          <t>规模大但题型单一 → 加推理链评测</t>
        </is>
      </c>
    </row>
    <row r="7">
      <c r="A7" s="9" t="inlineStr">
        <is>
          <t>MedBench</t>
        </is>
      </c>
      <c r="B7" s="10" t="inlineStr">
        <is>
          <t>医疗</t>
        </is>
      </c>
      <c r="C7" s="10" t="inlineStr">
        <is>
          <t>综合</t>
        </is>
      </c>
      <c r="D7" s="10" t="inlineStr">
        <is>
          <t>多任务</t>
        </is>
      </c>
      <c r="E7" s="41" t="n">
        <v>78</v>
      </c>
      <c r="F7" s="41" t="n">
        <v>71</v>
      </c>
      <c r="G7" s="42">
        <f>IF(F7="","-",E7-F7)</f>
        <v/>
      </c>
      <c r="H7" s="14">
        <f>IF(E7&gt;=90,"⛔已饱和",IF(E7&gt;=80,"⚠接近饱和",IF(AND(F7&lt;&gt;"",E7-F7&gt;=15),"⚠疑似污染","✓仍有空间")))</f>
        <v/>
      </c>
      <c r="I7" s="10" t="inlineStr">
        <is>
          <t>2026</t>
        </is>
      </c>
      <c r="J7" s="9" t="inlineStr">
        <is>
          <t>安全伦理维度仍偏低 → 专项深挖</t>
        </is>
      </c>
    </row>
    <row r="8">
      <c r="A8" s="9" t="inlineStr">
        <is>
          <t>MedXpertQA</t>
        </is>
      </c>
      <c r="B8" s="10" t="inlineStr">
        <is>
          <t>医疗</t>
        </is>
      </c>
      <c r="C8" s="10" t="inlineStr">
        <is>
          <t>选择+多模态</t>
        </is>
      </c>
      <c r="D8" s="10" t="inlineStr">
        <is>
          <t>—</t>
        </is>
      </c>
      <c r="E8" s="41" t="n">
        <v>58</v>
      </c>
      <c r="F8" s="41" t="n">
        <v>44</v>
      </c>
      <c r="G8" s="42">
        <f>IF(F8="","-",E8-F8)</f>
        <v/>
      </c>
      <c r="H8" s="14">
        <f>IF(E8&gt;=90,"⛔已饱和",IF(E8&gt;=80,"⚠接近饱和",IF(AND(F8&lt;&gt;"",E8-F8&gt;=15),"⚠疑似污染","✓仍有空间")))</f>
        <v/>
      </c>
      <c r="I8" s="10" t="inlineStr">
        <is>
          <t>2025</t>
        </is>
      </c>
      <c r="J8" s="9" t="inlineStr">
        <is>
          <t>难度高，仍有空间</t>
        </is>
      </c>
    </row>
    <row r="9">
      <c r="A9" s="9" t="inlineStr">
        <is>
          <t>LawBench</t>
        </is>
      </c>
      <c r="B9" s="10" t="inlineStr">
        <is>
          <t>法律</t>
        </is>
      </c>
      <c r="C9" s="10" t="inlineStr">
        <is>
          <t>20任务</t>
        </is>
      </c>
      <c r="D9" s="10" t="inlineStr">
        <is>
          <t>—</t>
        </is>
      </c>
      <c r="E9" s="41" t="n">
        <v>74</v>
      </c>
      <c r="F9" s="41" t="n">
        <v>68</v>
      </c>
      <c r="G9" s="42">
        <f>IF(F9="","-",E9-F9)</f>
        <v/>
      </c>
      <c r="H9" s="14">
        <f>IF(E9&gt;=90,"⛔已饱和",IF(E9&gt;=80,"⚠接近饱和",IF(AND(F9&lt;&gt;"",E9-F9&gt;=15),"⚠疑似污染","✓仍有空间")))</f>
        <v/>
      </c>
      <c r="I9" s="10" t="inlineStr">
        <is>
          <t>2023</t>
        </is>
      </c>
      <c r="J9" s="9" t="inlineStr">
        <is>
          <t>偏抽取分类 → 补文书生成 Rubric</t>
        </is>
      </c>
    </row>
    <row r="10">
      <c r="A10" s="9" t="inlineStr">
        <is>
          <t>CFBenchmark</t>
        </is>
      </c>
      <c r="B10" s="10" t="inlineStr">
        <is>
          <t>金融</t>
        </is>
      </c>
      <c r="C10" s="10" t="inlineStr">
        <is>
          <t>综合</t>
        </is>
      </c>
      <c r="D10" s="10" t="inlineStr">
        <is>
          <t>—</t>
        </is>
      </c>
      <c r="E10" s="41" t="n">
        <v>76</v>
      </c>
      <c r="F10" s="41" t="n">
        <v>70</v>
      </c>
      <c r="G10" s="42">
        <f>IF(F10="","-",E10-F10)</f>
        <v/>
      </c>
      <c r="H10" s="14">
        <f>IF(E10&gt;=90,"⛔已饱和",IF(E10&gt;=80,"⚠接近饱和",IF(AND(F10&lt;&gt;"",E10-F10&gt;=15),"⚠疑似污染","✓仍有空间")))</f>
        <v/>
      </c>
      <c r="I10" s="10" t="inlineStr">
        <is>
          <t>2024</t>
        </is>
      </c>
      <c r="J10" s="9" t="inlineStr">
        <is>
          <t>补长上下文数值推理</t>
        </is>
      </c>
    </row>
    <row r="11">
      <c r="A11" s="9" t="inlineStr">
        <is>
          <t>CNFinBench</t>
        </is>
      </c>
      <c r="B11" s="10" t="inlineStr">
        <is>
          <t>金融</t>
        </is>
      </c>
      <c r="C11" s="10" t="inlineStr">
        <is>
          <t>综合</t>
        </is>
      </c>
      <c r="D11" s="10" t="inlineStr">
        <is>
          <t>—</t>
        </is>
      </c>
      <c r="E11" s="41" t="n">
        <v>71</v>
      </c>
      <c r="F11" s="41" t="n"/>
      <c r="G11" s="42">
        <f>IF(F11="","-",E11-F11)</f>
        <v/>
      </c>
      <c r="H11" s="14">
        <f>IF(E11&gt;=90,"⛔已饱和",IF(E11&gt;=80,"⚠接近饱和",IF(AND(F11&lt;&gt;"",E11-F11&gt;=15),"⚠疑似污染","✓仍有空间")))</f>
        <v/>
      </c>
      <c r="I11" s="10" t="inlineStr">
        <is>
          <t>2026</t>
        </is>
      </c>
      <c r="J11" s="9" t="inlineStr">
        <is>
          <t>较新，先观察</t>
        </is>
      </c>
    </row>
    <row r="12">
      <c r="A12" s="9" t="inlineStr">
        <is>
          <t>FinanceBench</t>
        </is>
      </c>
      <c r="B12" s="10" t="inlineStr">
        <is>
          <t>金融</t>
        </is>
      </c>
      <c r="C12" s="10" t="inlineStr">
        <is>
          <t>开放问答</t>
        </is>
      </c>
      <c r="D12" s="10" t="inlineStr">
        <is>
          <t>规模小</t>
        </is>
      </c>
      <c r="E12" s="41" t="n">
        <v>63</v>
      </c>
      <c r="F12" s="41" t="n">
        <v>55</v>
      </c>
      <c r="G12" s="42">
        <f>IF(F12="","-",E12-F12)</f>
        <v/>
      </c>
      <c r="H12" s="14">
        <f>IF(E12&gt;=90,"⛔已饱和",IF(E12&gt;=80,"⚠接近饱和",IF(AND(F12&lt;&gt;"",E12-F12&gt;=15),"⚠疑似污染","✓仍有空间")))</f>
        <v/>
      </c>
      <c r="I12" s="10" t="inlineStr">
        <is>
          <t>2023</t>
        </is>
      </c>
      <c r="J12" s="9" t="inlineStr">
        <is>
          <t>规模小 → 可直接扩题量</t>
        </is>
      </c>
    </row>
    <row r="13">
      <c r="A13" s="9" t="inlineStr">
        <is>
          <t>HumanEval</t>
        </is>
      </c>
      <c r="B13" s="10" t="inlineStr">
        <is>
          <t>代码</t>
        </is>
      </c>
      <c r="C13" s="10" t="inlineStr">
        <is>
          <t>函数补全</t>
        </is>
      </c>
      <c r="D13" s="10" t="inlineStr">
        <is>
          <t>164</t>
        </is>
      </c>
      <c r="E13" s="41" t="n">
        <v>97</v>
      </c>
      <c r="F13" s="41" t="n">
        <v>96</v>
      </c>
      <c r="G13" s="42">
        <f>IF(F13="","-",E13-F13)</f>
        <v/>
      </c>
      <c r="H13" s="14">
        <f>IF(E13&gt;=90,"⛔已饱和",IF(E13&gt;=80,"⚠接近饱和",IF(AND(F13&lt;&gt;"",E13-F13&gt;=15),"⚠疑似污染","✓仍有空间")))</f>
        <v/>
      </c>
      <c r="I13" s="10" t="inlineStr">
        <is>
          <t>2021</t>
        </is>
      </c>
      <c r="J13" s="9" t="inlineStr">
        <is>
          <t>完全饱和 → 已被 SWE-bench 取代</t>
        </is>
      </c>
    </row>
    <row r="14">
      <c r="A14" s="9" t="inlineStr">
        <is>
          <t>SWE-bench Verified</t>
        </is>
      </c>
      <c r="B14" s="10" t="inlineStr">
        <is>
          <t>代码</t>
        </is>
      </c>
      <c r="C14" s="10" t="inlineStr">
        <is>
          <t>真实工程任务</t>
        </is>
      </c>
      <c r="D14" s="10" t="inlineStr">
        <is>
          <t>500</t>
        </is>
      </c>
      <c r="E14" s="41" t="n">
        <v>72</v>
      </c>
      <c r="F14" s="41" t="n">
        <v>49</v>
      </c>
      <c r="G14" s="42">
        <f>IF(F14="","-",E14-F14)</f>
        <v/>
      </c>
      <c r="H14" s="14">
        <f>IF(E14&gt;=90,"⛔已饱和",IF(E14&gt;=80,"⚠接近饱和",IF(AND(F14&lt;&gt;"",E14-F14&gt;=15),"⚠疑似污染","✓仍有空间")))</f>
        <v/>
      </c>
      <c r="I14" s="10" t="inlineStr">
        <is>
          <t>2026</t>
        </is>
      </c>
      <c r="J14" s="9" t="inlineStr">
        <is>
          <t>增幅极大，需提难度</t>
        </is>
      </c>
    </row>
    <row r="16">
      <c r="A16" s="40" t="inlineStr">
        <is>
          <t>判定规则</t>
        </is>
      </c>
    </row>
    <row r="17">
      <c r="A17" s="4" t="inlineStr">
        <is>
          <t>SOTA &gt;= 90%</t>
        </is>
      </c>
      <c r="B17" s="5" t="inlineStr">
        <is>
          <t>已饱和 —— 不要再投入，转换题型或提高难度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</row>
    <row r="18">
      <c r="A18" s="4" t="inlineStr">
        <is>
          <t>SOTA 80-90%</t>
        </is>
      </c>
      <c r="B18" s="5" t="inlineStr">
        <is>
          <t>接近饱和 —— 只做难题增量，或加对抗样本</t>
        </is>
      </c>
      <c r="C18" s="23" t="n"/>
      <c r="D18" s="23" t="n"/>
      <c r="E18" s="23" t="n"/>
      <c r="F18" s="23" t="n"/>
      <c r="G18" s="23" t="n"/>
      <c r="H18" s="23" t="n"/>
      <c r="I18" s="23" t="n"/>
      <c r="J18" s="23" t="n"/>
    </row>
    <row r="19">
      <c r="A19" s="4" t="inlineStr">
        <is>
          <t>半年增幅 &gt;= 15pt</t>
        </is>
      </c>
      <c r="B19" s="5" t="inlineStr">
        <is>
          <t>疑似数据污染 —— 机会：做防污染动态更新版本</t>
        </is>
      </c>
      <c r="C19" s="23" t="n"/>
      <c r="D19" s="23" t="n"/>
      <c r="E19" s="23" t="n"/>
      <c r="F19" s="23" t="n"/>
      <c r="G19" s="23" t="n"/>
      <c r="H19" s="23" t="n"/>
      <c r="I19" s="23" t="n"/>
      <c r="J19" s="23" t="n"/>
    </row>
    <row r="20">
      <c r="A20" s="4" t="inlineStr">
        <is>
          <t>SOTA 30-70%</t>
        </is>
      </c>
      <c r="B20" s="5" t="inlineStr">
        <is>
          <t>理想区间 —— 有 Failure 又有区分度，最值得投入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</row>
    <row r="21">
      <c r="A21" s="4" t="inlineStr">
        <is>
          <t>SOTA &lt; 20%</t>
        </is>
      </c>
      <c r="B21" s="5" t="inlineStr">
        <is>
          <t>可能是题目或评分标准有问题，先排查再下结论</t>
        </is>
      </c>
      <c r="C21" s="23" t="n"/>
      <c r="D21" s="23" t="n"/>
      <c r="E21" s="23" t="n"/>
      <c r="F21" s="23" t="n"/>
      <c r="G21" s="23" t="n"/>
      <c r="H21" s="23" t="n"/>
      <c r="I21" s="23" t="n"/>
      <c r="J21" s="23" t="n"/>
    </row>
  </sheetData>
  <mergeCells count="6">
    <mergeCell ref="A1:J1"/>
    <mergeCell ref="B19:J19"/>
    <mergeCell ref="B20:J20"/>
    <mergeCell ref="B17:J17"/>
    <mergeCell ref="B18:J18"/>
    <mergeCell ref="B21:J21"/>
  </mergeCells>
  <conditionalFormatting sqref="H4:H14">
    <cfRule type="expression" priority="1" dxfId="5">
      <formula>ISNUMBER(SEARCH("已饱和",H4))</formula>
    </cfRule>
    <cfRule type="expression" priority="2" dxfId="7">
      <formula>ISNUMBER(SEARCH("⚠",H4))</formula>
    </cfRule>
    <cfRule type="expression" priority="3" dxfId="6">
      <formula>ISNUMBER(SEARCH("仍有空间",H4))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13" customWidth="1" min="4" max="4"/>
    <col width="12" customWidth="1" min="5" max="5"/>
    <col width="12" customWidth="1" min="6" max="6"/>
    <col width="44" customWidth="1" min="7" max="7"/>
    <col width="12" customWidth="1" min="8" max="8"/>
  </cols>
  <sheetData>
    <row r="1">
      <c r="A1" s="1" t="inlineStr">
        <is>
          <t>20 题探针实验：8 条 Gate 验收表（立项前最后一关）</t>
        </is>
      </c>
    </row>
    <row r="2">
      <c r="A2" s="2" t="inlineStr">
        <is>
          <t>投入：20-30 题（易7/中7/难6）× 6 个梯度模型（强2/中2/弱2）× 2 位专家盲评 + LLM Judge 评 3 遍</t>
        </is>
      </c>
    </row>
    <row r="4" ht="34" customHeight="1">
      <c r="A4" s="3" t="inlineStr">
        <is>
          <t>Gate</t>
        </is>
      </c>
      <c r="B4" s="3" t="inlineStr">
        <is>
          <t>验收维度</t>
        </is>
      </c>
      <c r="C4" s="3" t="inlineStr">
        <is>
          <t>实测指标</t>
        </is>
      </c>
      <c r="D4" s="3" t="inlineStr">
        <is>
          <t>通过门槛</t>
        </is>
      </c>
      <c r="E4" s="3" t="inlineStr">
        <is>
          <t>实测值</t>
        </is>
      </c>
      <c r="F4" s="3" t="inlineStr">
        <is>
          <t>判定</t>
        </is>
      </c>
      <c r="G4" s="3" t="inlineStr">
        <is>
          <t>不达标对策</t>
        </is>
      </c>
      <c r="H4" s="3" t="inlineStr">
        <is>
          <t>责任人</t>
        </is>
      </c>
    </row>
    <row r="5" ht="30" customHeight="1">
      <c r="A5" s="43" t="inlineStr">
        <is>
          <t>G1</t>
        </is>
      </c>
      <c r="B5" s="5" t="inlineStr">
        <is>
          <t>①真实任务价值</t>
        </is>
      </c>
      <c r="C5" s="5" t="inlineStr">
        <is>
          <t>专家认可「值得考」比例 %</t>
        </is>
      </c>
      <c r="D5" s="13" t="n">
        <v>80</v>
      </c>
      <c r="E5" s="10" t="n">
        <v>92</v>
      </c>
      <c r="F5" s="14">
        <f>IF(E5="","待测",IF(E5&gt;=D5,"✓ PASS","✗ FAIL"))</f>
        <v/>
      </c>
      <c r="G5" s="5" t="inlineStr">
        <is>
          <t>换任务，回到真实工作流重新拆解</t>
        </is>
      </c>
      <c r="H5" s="5" t="inlineStr">
        <is>
          <t>专家组</t>
        </is>
      </c>
    </row>
    <row r="6" ht="30" customHeight="1">
      <c r="A6" s="43" t="inlineStr">
        <is>
          <t>G2</t>
        </is>
      </c>
      <c r="B6" s="5" t="inlineStr">
        <is>
          <t>②明显Failure</t>
        </is>
      </c>
      <c r="C6" s="5" t="inlineStr">
        <is>
          <t>SOTA 模型平均得分 %</t>
        </is>
      </c>
      <c r="D6" s="13" t="n">
        <v>30</v>
      </c>
      <c r="E6" s="10" t="n">
        <v>47</v>
      </c>
      <c r="F6" s="14">
        <f>IF(E6="","待测",IF(AND(E6&gt;=D6,E6&lt;=70),"✓ PASS","✗ FAIL"))</f>
        <v/>
      </c>
      <c r="G6" s="5" t="inlineStr">
        <is>
          <t>过高→加难题；过低→排查评分是否过严</t>
        </is>
      </c>
      <c r="H6" s="5" t="inlineStr">
        <is>
          <t>算法</t>
        </is>
      </c>
    </row>
    <row r="7" ht="30" customHeight="1">
      <c r="A7" s="43" t="inlineStr">
        <is>
          <t>G3</t>
        </is>
      </c>
      <c r="B7" s="5" t="inlineStr">
        <is>
          <t>③区分度潜力</t>
        </is>
      </c>
      <c r="C7" s="5" t="inlineStr">
        <is>
          <t>最强与最弱模型分数极差 pt</t>
        </is>
      </c>
      <c r="D7" s="13" t="n">
        <v>25</v>
      </c>
      <c r="E7" s="10" t="n">
        <v>38</v>
      </c>
      <c r="F7" s="14">
        <f>IF(E7="","待测",IF(E7&gt;=D7,"✓ PASS","✗ FAIL"))</f>
        <v/>
      </c>
      <c r="G7" s="5" t="inlineStr">
        <is>
          <t>重设难度梯度或评分维度</t>
        </is>
      </c>
      <c r="H7" s="5" t="inlineStr">
        <is>
          <t>算法</t>
        </is>
      </c>
    </row>
    <row r="8" ht="30" customHeight="1">
      <c r="A8" s="43" t="inlineStr">
        <is>
          <t>G3b</t>
        </is>
      </c>
      <c r="B8" s="5" t="inlineStr">
        <is>
          <t>③排序一致性</t>
        </is>
      </c>
      <c r="C8" s="5" t="inlineStr">
        <is>
          <t>与公认能力排序 Spearman</t>
        </is>
      </c>
      <c r="D8" s="13" t="n">
        <v>0.8</v>
      </c>
      <c r="E8" s="10" t="n">
        <v>0.89</v>
      </c>
      <c r="F8" s="14">
        <f>IF(E8="","待测",IF(E8&gt;=D8,"✓ PASS","✗ FAIL"))</f>
        <v/>
      </c>
      <c r="G8" s="5" t="inlineStr">
        <is>
          <t>极差大但排序乱 = 噪声，需降低评分随机性</t>
        </is>
      </c>
      <c r="H8" s="5" t="inlineStr">
        <is>
          <t>算法</t>
        </is>
      </c>
    </row>
    <row r="9" ht="30" customHeight="1">
      <c r="A9" s="43" t="inlineStr">
        <is>
          <t>G4</t>
        </is>
      </c>
      <c r="B9" s="5" t="inlineStr">
        <is>
          <t>④可客观评判</t>
        </is>
      </c>
      <c r="C9" s="5" t="inlineStr">
        <is>
          <t>专家间一致性 Kappa/Alpha</t>
        </is>
      </c>
      <c r="D9" s="13" t="n">
        <v>0.7</v>
      </c>
      <c r="E9" s="10" t="n">
        <v>0.76</v>
      </c>
      <c r="F9" s="14">
        <f>IF(E9="","待测",IF(E9&gt;=D9,"✓ PASS","✗ FAIL"))</f>
        <v/>
      </c>
      <c r="G9" s="5" t="inlineStr">
        <is>
          <t>Rubric 改写成二元可判定条件</t>
        </is>
      </c>
      <c r="H9" s="5" t="inlineStr">
        <is>
          <t>PM</t>
        </is>
      </c>
    </row>
    <row r="10" ht="30" customHeight="1">
      <c r="A10" s="43" t="inlineStr">
        <is>
          <t>G4b</t>
        </is>
      </c>
      <c r="B10" s="5" t="inlineStr">
        <is>
          <t>④Judge 稳定性</t>
        </is>
      </c>
      <c r="C10" s="5" t="inlineStr">
        <is>
          <t>LLM Judge 自一致率 %</t>
        </is>
      </c>
      <c r="D10" s="13" t="n">
        <v>95</v>
      </c>
      <c r="E10" s="10" t="n">
        <v>97</v>
      </c>
      <c r="F10" s="14">
        <f>IF(E10="","待测",IF(E10&gt;=D10,"✓ PASS","✗ FAIL"))</f>
        <v/>
      </c>
      <c r="G10" s="5" t="inlineStr">
        <is>
          <t>固定 judge 版本/温度=0/规范 prompt</t>
        </is>
      </c>
      <c r="H10" s="5" t="inlineStr">
        <is>
          <t>算法</t>
        </is>
      </c>
    </row>
    <row r="11" ht="30" customHeight="1">
      <c r="A11" s="43" t="inlineStr">
        <is>
          <t>G4c</t>
        </is>
      </c>
      <c r="B11" s="5" t="inlineStr">
        <is>
          <t>④人机一致性</t>
        </is>
      </c>
      <c r="C11" s="5" t="inlineStr">
        <is>
          <t>LLM Judge vs 专家 Kappa</t>
        </is>
      </c>
      <c r="D11" s="13" t="n">
        <v>0.7</v>
      </c>
      <c r="E11" s="10" t="n">
        <v>0.72</v>
      </c>
      <c r="F11" s="14">
        <f>IF(E11="","待测",IF(E11&gt;=D11,"✓ PASS","✗ FAIL"))</f>
        <v/>
      </c>
      <c r="G11" s="5" t="inlineStr">
        <is>
          <t>继续人工评，或先做 judge 对齐微调</t>
        </is>
      </c>
      <c r="H11" s="5" t="inlineStr">
        <is>
          <t>算法</t>
        </is>
      </c>
    </row>
    <row r="12" ht="30" customHeight="1">
      <c r="A12" s="43" t="inlineStr">
        <is>
          <t>G5</t>
        </is>
      </c>
      <c r="B12" s="5" t="inlineStr">
        <is>
          <t>⑤指导迭代</t>
        </is>
      </c>
      <c r="C12" s="5" t="inlineStr">
        <is>
          <t>失败可归因率 %（归入&lt;10类）</t>
        </is>
      </c>
      <c r="D12" s="13" t="n">
        <v>80</v>
      </c>
      <c r="E12" s="10" t="n">
        <v>85</v>
      </c>
      <c r="F12" s="14">
        <f>IF(E12="","待测",IF(E12&gt;=D12,"✓ PASS","✗ FAIL"))</f>
        <v/>
      </c>
      <c r="G12" s="5" t="inlineStr">
        <is>
          <t>评分需拆解到子能力维度而非总分</t>
        </is>
      </c>
      <c r="H12" s="5" t="inlineStr">
        <is>
          <t>PM</t>
        </is>
      </c>
    </row>
    <row r="13" ht="30" customHeight="1">
      <c r="A13" s="43" t="inlineStr">
        <is>
          <t>G6</t>
        </is>
      </c>
      <c r="B13" s="5" t="inlineStr">
        <is>
          <t>⑥抗污染寿命</t>
        </is>
      </c>
      <c r="C13" s="5" t="inlineStr">
        <is>
          <t>题目公网可检索率 %（越低越好）</t>
        </is>
      </c>
      <c r="D13" s="13" t="n">
        <v>10</v>
      </c>
      <c r="E13" s="10" t="n">
        <v>6</v>
      </c>
      <c r="F13" s="14">
        <f>IF(E13="","待测",IF(E13&lt;=D13,"✓ PASS","✗ FAIL"))</f>
        <v/>
      </c>
      <c r="G13" s="5" t="inlineStr">
        <is>
          <t>改原创题 / 建私有 holdout 集</t>
        </is>
      </c>
      <c r="H13" s="5" t="inlineStr">
        <is>
          <t>PM</t>
        </is>
      </c>
    </row>
    <row r="14" ht="30" customHeight="1">
      <c r="A14" s="43" t="inlineStr">
        <is>
          <t>G7</t>
        </is>
      </c>
      <c r="B14" s="5" t="inlineStr">
        <is>
          <t>⑦成本可行</t>
        </is>
      </c>
      <c r="C14" s="5" t="inlineStr">
        <is>
          <t>单题总成本（元）</t>
        </is>
      </c>
      <c r="D14" s="13" t="n">
        <v>300</v>
      </c>
      <c r="E14" s="10" t="n">
        <v>260</v>
      </c>
      <c r="F14" s="14">
        <f>IF(E14="","待测",IF(E14&lt;=D14,"✓ PASS","✗ FAIL"))</f>
        <v/>
      </c>
      <c r="G14" s="5" t="inlineStr">
        <is>
          <t>降 Rubric 粒度或缩减目标规模</t>
        </is>
      </c>
      <c r="H14" s="5" t="inlineStr">
        <is>
          <t>PM</t>
        </is>
      </c>
    </row>
    <row r="15" ht="30" customHeight="1">
      <c r="A15" s="43" t="inlineStr">
        <is>
          <t>G8</t>
        </is>
      </c>
      <c r="B15" s="5" t="inlineStr">
        <is>
          <t>⑧权威性可采信</t>
        </is>
      </c>
      <c r="C15" s="5" t="inlineStr">
        <is>
          <t>评分点有权威来源溯源率 %</t>
        </is>
      </c>
      <c r="D15" s="13" t="n">
        <v>100</v>
      </c>
      <c r="E15" s="10" t="n">
        <v>100</v>
      </c>
      <c r="F15" s="14">
        <f>IF(E15="","待测",IF(E15&gt;=D15,"✓ PASS","✗ FAIL"))</f>
        <v/>
      </c>
      <c r="G15" s="5" t="inlineStr">
        <is>
          <t>补齐依据溯源与权威性分级</t>
        </is>
      </c>
      <c r="H15" s="5" t="inlineStr">
        <is>
          <t>PM + 专家</t>
        </is>
      </c>
    </row>
    <row r="17">
      <c r="A17" s="25" t="inlineStr">
        <is>
          <t>总体结论</t>
        </is>
      </c>
      <c r="B17" s="14" t="inlineStr">
        <is>
          <t>PASS 数</t>
        </is>
      </c>
      <c r="C17" s="44">
        <f>COUNTIF(F5:F15,"✓ PASS")</f>
        <v/>
      </c>
      <c r="D17" s="14" t="inlineStr">
        <is>
          <t>FAIL 数</t>
        </is>
      </c>
      <c r="E17" s="44">
        <f>COUNTIF(F5:F15,"✗ FAIL")</f>
        <v/>
      </c>
      <c r="F17" s="14" t="inlineStr">
        <is>
          <t>立项建议</t>
        </is>
      </c>
      <c r="G17" s="19">
        <f>IF(COUNTIF(F5:F15,"待测")&gt;0,"探针未完成",IF(COUNTIF(F5:F15,"✗ FAIL")=0,"✅ 全部通过，建议立项",IF(COUNTIF(F5:F15,"✗ FAIL")&lt;=2,"⚠ 局部不达标，整改后复测","⛔ 设计存在根本问题，回到选题")))</f>
        <v/>
      </c>
      <c r="H17" s="30" t="n"/>
    </row>
    <row r="19">
      <c r="A19" s="17" t="inlineStr">
        <is>
          <t>难度分层设计（保证 benchmark 寿命）</t>
        </is>
      </c>
      <c r="B19" s="22" t="n"/>
      <c r="C19" s="22" t="n"/>
      <c r="D19" s="22" t="n"/>
      <c r="E19" s="22" t="n"/>
      <c r="F19" s="22" t="n"/>
      <c r="G19" s="22" t="n"/>
      <c r="H19" s="22" t="n"/>
    </row>
    <row r="20">
      <c r="A20" s="4" t="inlineStr">
        <is>
          <t>Easy  30%</t>
        </is>
      </c>
      <c r="B20" s="5" t="inlineStr">
        <is>
          <t>区分「弱模型 vs 中等模型」，预期 SOTA 85-95%</t>
        </is>
      </c>
      <c r="C20" s="23" t="n"/>
      <c r="D20" s="23" t="n"/>
      <c r="E20" s="23" t="n"/>
      <c r="F20" s="23" t="n"/>
      <c r="G20" s="23" t="n"/>
      <c r="H20" s="23" t="n"/>
    </row>
    <row r="21">
      <c r="A21" s="4" t="inlineStr">
        <is>
          <t>Medium 40%</t>
        </is>
      </c>
      <c r="B21" s="5" t="inlineStr">
        <is>
          <t>区分「中等 vs 强」——主战场，预期 SOTA 50-70%</t>
        </is>
      </c>
      <c r="C21" s="23" t="n"/>
      <c r="D21" s="23" t="n"/>
      <c r="E21" s="23" t="n"/>
      <c r="F21" s="23" t="n"/>
      <c r="G21" s="23" t="n"/>
      <c r="H21" s="23" t="n"/>
    </row>
    <row r="22">
      <c r="A22" s="4" t="inlineStr">
        <is>
          <t>Hard  30%</t>
        </is>
      </c>
      <c r="B22" s="5" t="inlineStr">
        <is>
          <t>区分「强 vs SOTA」并预留未来 2 年空间，预期 SOTA 15-35%</t>
        </is>
      </c>
      <c r="C22" s="23" t="n"/>
      <c r="D22" s="23" t="n"/>
      <c r="E22" s="23" t="n"/>
      <c r="F22" s="23" t="n"/>
      <c r="G22" s="23" t="n"/>
      <c r="H22" s="23" t="n"/>
    </row>
  </sheetData>
  <mergeCells count="7">
    <mergeCell ref="B22:H22"/>
    <mergeCell ref="B21:H21"/>
    <mergeCell ref="A2:H2"/>
    <mergeCell ref="A19:H19"/>
    <mergeCell ref="A1:H1"/>
    <mergeCell ref="B20:H20"/>
    <mergeCell ref="G17:H17"/>
  </mergeCells>
  <conditionalFormatting sqref="F5:F15">
    <cfRule type="expression" priority="1" dxfId="3">
      <formula>ISNUMBER(SEARCH("PASS",F5))</formula>
    </cfRule>
    <cfRule type="expression" priority="2" dxfId="5">
      <formula>ISNUMBER(SEARCH("FAIL",F5))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40" customWidth="1" min="3" max="3"/>
  </cols>
  <sheetData>
    <row r="1">
      <c r="A1" s="1" t="inlineStr">
        <is>
          <t>Idea 一页纸卡片（判定为 GO 后填写，作为 PRD 前置文档）</t>
        </is>
      </c>
    </row>
    <row r="3" ht="24" customHeight="1">
      <c r="A3" s="45" t="inlineStr">
        <is>
          <t>一、基本信息</t>
        </is>
      </c>
      <c r="B3" s="29" t="n"/>
      <c r="C3" s="30" t="n"/>
    </row>
    <row r="4" ht="32" customHeight="1">
      <c r="A4" s="46" t="inlineStr">
        <is>
          <t>Idea 编号 / 名称</t>
        </is>
      </c>
      <c r="B4" s="9" t="inlineStr"/>
      <c r="C4" s="23" t="n"/>
    </row>
    <row r="5" ht="32" customHeight="1">
      <c r="A5" s="46" t="inlineStr">
        <is>
          <t>垂类领域 / 目标能力</t>
        </is>
      </c>
      <c r="B5" s="9" t="inlineStr"/>
      <c r="C5" s="23" t="n"/>
    </row>
    <row r="6" ht="32" customHeight="1">
      <c r="A6" s="46" t="inlineStr">
        <is>
          <t>评测范式</t>
        </is>
      </c>
      <c r="B6" s="9" t="inlineStr"/>
      <c r="C6" s="23" t="n"/>
    </row>
    <row r="7" ht="32" customHeight="1">
      <c r="A7" s="46" t="inlineStr">
        <is>
          <t>来源象限 / 发现渠道</t>
        </is>
      </c>
      <c r="B7" s="9" t="inlineStr"/>
      <c r="C7" s="23" t="n"/>
    </row>
    <row r="8" ht="32" customHeight="1">
      <c r="A8" s="46" t="inlineStr">
        <is>
          <t>提出人 / 日期</t>
        </is>
      </c>
      <c r="B8" s="9" t="inlineStr"/>
      <c r="C8" s="23" t="n"/>
    </row>
    <row r="9" ht="24" customHeight="1">
      <c r="A9" s="45" t="inlineStr">
        <is>
          <t>二、价值论证（对应 Gate ①）</t>
        </is>
      </c>
      <c r="B9" s="29" t="n"/>
      <c r="C9" s="30" t="n"/>
    </row>
    <row r="10" ht="32" customHeight="1">
      <c r="A10" s="46" t="inlineStr">
        <is>
          <t>谁在做这个任务（具体角色）</t>
        </is>
      </c>
      <c r="B10" s="9" t="inlineStr"/>
      <c r="C10" s="23" t="n"/>
    </row>
    <row r="11" ht="32" customHeight="1">
      <c r="A11" s="46" t="inlineStr">
        <is>
          <t>做得多频繁</t>
        </is>
      </c>
      <c r="B11" s="9" t="inlineStr"/>
      <c r="C11" s="23" t="n"/>
    </row>
    <row r="12" ht="32" customHeight="1">
      <c r="A12" s="46" t="inlineStr">
        <is>
          <t>做错的后果是什么</t>
        </is>
      </c>
      <c r="B12" s="9" t="inlineStr"/>
      <c r="C12" s="23" t="n"/>
    </row>
    <row r="13" ht="32" customHeight="1">
      <c r="A13" s="46" t="inlineStr">
        <is>
          <t>谁会使用这个 benchmark 的结论</t>
        </is>
      </c>
      <c r="B13" s="9" t="inlineStr"/>
      <c r="C13" s="23" t="n"/>
    </row>
    <row r="14" ht="32" customHeight="1">
      <c r="A14" s="46" t="inlineStr">
        <is>
          <t>他们用它做什么决策</t>
        </is>
      </c>
      <c r="B14" s="9" t="inlineStr"/>
      <c r="C14" s="23" t="n"/>
    </row>
    <row r="15" ht="24" customHeight="1">
      <c r="A15" s="45" t="inlineStr">
        <is>
          <t>三、Failure 证据（对应 Gate ②③）</t>
        </is>
      </c>
      <c r="B15" s="29" t="n"/>
      <c r="C15" s="30" t="n"/>
    </row>
    <row r="16" ht="32" customHeight="1">
      <c r="A16" s="46" t="inlineStr">
        <is>
          <t>探针实测 SOTA 得分</t>
        </is>
      </c>
      <c r="B16" s="9" t="inlineStr"/>
      <c r="C16" s="23" t="n"/>
    </row>
    <row r="17" ht="32" customHeight="1">
      <c r="A17" s="46" t="inlineStr">
        <is>
          <t>典型失败案例（3 个）</t>
        </is>
      </c>
      <c r="B17" s="9" t="inlineStr"/>
      <c r="C17" s="23" t="n"/>
    </row>
    <row r="18" ht="32" customHeight="1">
      <c r="A18" s="46" t="inlineStr">
        <is>
          <t>失败模式归类</t>
        </is>
      </c>
      <c r="B18" s="9" t="inlineStr"/>
      <c r="C18" s="23" t="n"/>
    </row>
    <row r="19" ht="32" customHeight="1">
      <c r="A19" s="46" t="inlineStr">
        <is>
          <t>模型间分数极差 / 排序一致性</t>
        </is>
      </c>
      <c r="B19" s="9" t="inlineStr"/>
      <c r="C19" s="23" t="n"/>
    </row>
    <row r="20" ht="24" customHeight="1">
      <c r="A20" s="45" t="inlineStr">
        <is>
          <t>四、评测设计（对应 Gate ④⑤）</t>
        </is>
      </c>
      <c r="B20" s="29" t="n"/>
      <c r="C20" s="30" t="n"/>
    </row>
    <row r="21" ht="32" customHeight="1">
      <c r="A21" s="46" t="inlineStr">
        <is>
          <t>题型与难度分层（易/中/难）</t>
        </is>
      </c>
      <c r="B21" s="9" t="inlineStr"/>
      <c r="C21" s="23" t="n"/>
    </row>
    <row r="22" ht="32" customHeight="1">
      <c r="A22" s="46" t="inlineStr">
        <is>
          <t>Rubric 设计（粒度 / 权重规则）</t>
        </is>
      </c>
      <c r="B22" s="9" t="inlineStr"/>
      <c r="C22" s="23" t="n"/>
    </row>
    <row r="23" ht="32" customHeight="1">
      <c r="A23" s="46" t="inlineStr">
        <is>
          <t>打分方式（专家 / LLM Judge / 混合）</t>
        </is>
      </c>
      <c r="B23" s="9" t="inlineStr"/>
      <c r="C23" s="23" t="n"/>
    </row>
    <row r="24" ht="32" customHeight="1">
      <c r="A24" s="46" t="inlineStr">
        <is>
          <t>依据溯源要求（权威性分级标准）</t>
        </is>
      </c>
      <c r="B24" s="9" t="inlineStr"/>
      <c r="C24" s="23" t="n"/>
    </row>
    <row r="25" ht="32" customHeight="1">
      <c r="A25" s="46" t="inlineStr">
        <is>
          <t>结果如何拆解到子能力（可指导迭代）</t>
        </is>
      </c>
      <c r="B25" s="9" t="inlineStr"/>
      <c r="C25" s="23" t="n"/>
    </row>
    <row r="26" ht="24" customHeight="1">
      <c r="A26" s="45" t="inlineStr">
        <is>
          <t>五、数据与合规（对应 Gate ⑥）</t>
        </is>
      </c>
      <c r="B26" s="29" t="n"/>
      <c r="C26" s="30" t="n"/>
    </row>
    <row r="27" ht="32" customHeight="1">
      <c r="A27" s="46" t="inlineStr">
        <is>
          <t>数据来源</t>
        </is>
      </c>
      <c r="B27" s="9" t="inlineStr"/>
      <c r="C27" s="23" t="n"/>
    </row>
    <row r="28" ht="32" customHeight="1">
      <c r="A28" s="46" t="inlineStr">
        <is>
          <t>版权 / 隐私 / 伦理审批</t>
        </is>
      </c>
      <c r="B28" s="9" t="inlineStr"/>
      <c r="C28" s="23" t="n"/>
    </row>
    <row r="29" ht="32" customHeight="1">
      <c r="A29" s="46" t="inlineStr">
        <is>
          <t>防污染策略</t>
        </is>
      </c>
      <c r="B29" s="9" t="inlineStr"/>
      <c r="C29" s="23" t="n"/>
    </row>
    <row r="30" ht="32" customHeight="1">
      <c r="A30" s="46" t="inlineStr">
        <is>
          <t>更新机制与节奏</t>
        </is>
      </c>
      <c r="B30" s="9" t="inlineStr"/>
      <c r="C30" s="23" t="n"/>
    </row>
    <row r="31" ht="24" customHeight="1">
      <c r="A31" s="45" t="inlineStr">
        <is>
          <t>六、资源与排期（对应 Gate ⑦）</t>
        </is>
      </c>
      <c r="B31" s="29" t="n"/>
      <c r="C31" s="30" t="n"/>
    </row>
    <row r="32" ht="32" customHeight="1">
      <c r="A32" s="46" t="inlineStr">
        <is>
          <t>专家团队（资质 / 人数）</t>
        </is>
      </c>
      <c r="B32" s="9" t="inlineStr"/>
      <c r="C32" s="23" t="n"/>
    </row>
    <row r="33" ht="32" customHeight="1">
      <c r="A33" s="46" t="inlineStr">
        <is>
          <t>目标题量 / 单题成本 / 总预算</t>
        </is>
      </c>
      <c r="B33" s="9" t="inlineStr"/>
      <c r="C33" s="23" t="n"/>
    </row>
    <row r="34" ht="32" customHeight="1">
      <c r="A34" s="46" t="inlineStr">
        <is>
          <t>里程碑排期</t>
        </is>
      </c>
      <c r="B34" s="9" t="inlineStr"/>
      <c r="C34" s="23" t="n"/>
    </row>
    <row r="35" ht="24" customHeight="1">
      <c r="A35" s="45" t="inlineStr">
        <is>
          <t>七、权威性建设（对应 Gate ⑧）</t>
        </is>
      </c>
      <c r="B35" s="29" t="n"/>
      <c r="C35" s="30" t="n"/>
    </row>
    <row r="36" ht="32" customHeight="1">
      <c r="A36" s="46" t="inlineStr">
        <is>
          <t>专家背书 / 可公示资质</t>
        </is>
      </c>
      <c r="B36" s="9" t="inlineStr"/>
      <c r="C36" s="23" t="n"/>
    </row>
    <row r="37" ht="32" customHeight="1">
      <c r="A37" s="46" t="inlineStr">
        <is>
          <t>方法论发布计划（论文 / 技术报告 / 开源）</t>
        </is>
      </c>
      <c r="B37" s="9" t="inlineStr"/>
      <c r="C37" s="23" t="n"/>
    </row>
    <row r="38" ht="32" customHeight="1">
      <c r="A38" s="46" t="inlineStr">
        <is>
          <t>外部合作与榜单落地</t>
        </is>
      </c>
      <c r="B38" s="9" t="inlineStr"/>
      <c r="C38" s="23" t="n"/>
    </row>
    <row r="39" ht="24" customHeight="1">
      <c r="A39" s="45" t="inlineStr">
        <is>
          <t>八、风险与退出</t>
        </is>
      </c>
      <c r="B39" s="29" t="n"/>
      <c r="C39" s="30" t="n"/>
    </row>
    <row r="40" ht="32" customHeight="1">
      <c r="A40" s="46" t="inlineStr">
        <is>
          <t>Top 3 风险及应对</t>
        </is>
      </c>
      <c r="B40" s="9" t="inlineStr"/>
      <c r="C40" s="23" t="n"/>
    </row>
    <row r="41" ht="32" customHeight="1">
      <c r="A41" s="46" t="inlineStr">
        <is>
          <t>什么情况下终止项目</t>
        </is>
      </c>
      <c r="B41" s="9" t="inlineStr"/>
      <c r="C41" s="23" t="n"/>
    </row>
  </sheetData>
  <mergeCells count="40">
    <mergeCell ref="B16:C16"/>
    <mergeCell ref="B7:C7"/>
    <mergeCell ref="B25:C25"/>
    <mergeCell ref="B22:C22"/>
    <mergeCell ref="A3:C3"/>
    <mergeCell ref="B18:C18"/>
    <mergeCell ref="B27:C27"/>
    <mergeCell ref="A26:C26"/>
    <mergeCell ref="B12:C12"/>
    <mergeCell ref="B21:C21"/>
    <mergeCell ref="B11:C11"/>
    <mergeCell ref="B23:C23"/>
    <mergeCell ref="B14:C14"/>
    <mergeCell ref="B17:C17"/>
    <mergeCell ref="A35:C35"/>
    <mergeCell ref="B8:C8"/>
    <mergeCell ref="A20:C20"/>
    <mergeCell ref="B13:C13"/>
    <mergeCell ref="A1:D1"/>
    <mergeCell ref="B38:C38"/>
    <mergeCell ref="B29:C29"/>
    <mergeCell ref="B19:C19"/>
    <mergeCell ref="A31:C31"/>
    <mergeCell ref="B34:C34"/>
    <mergeCell ref="B10:C10"/>
    <mergeCell ref="B28:C28"/>
    <mergeCell ref="B37:C37"/>
    <mergeCell ref="A9:C9"/>
    <mergeCell ref="A39:C39"/>
    <mergeCell ref="B40:C40"/>
    <mergeCell ref="A15:C15"/>
    <mergeCell ref="B6:C6"/>
    <mergeCell ref="B24:C24"/>
    <mergeCell ref="B30:C30"/>
    <mergeCell ref="B33:C33"/>
    <mergeCell ref="B5:C5"/>
    <mergeCell ref="B36:C36"/>
    <mergeCell ref="B32:C32"/>
    <mergeCell ref="B41:C41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22" customWidth="1" min="3" max="3"/>
    <col width="30" customWidth="1" min="4" max="4"/>
    <col width="32" customWidth="1" min="5" max="5"/>
    <col width="58" customWidth="1" min="6" max="6"/>
  </cols>
  <sheetData>
    <row r="1">
      <c r="A1" s="1" t="inlineStr">
        <is>
          <t>Idea 生产流水线：价值源 × 难度源 × 设计源 交叉法</t>
        </is>
      </c>
    </row>
    <row r="2">
      <c r="A2" s="24" t="inlineStr">
        <is>
          <t>好 Idea = 价值源 × 难度源 × 设计源 三者交叉。只有价值源 → 伪需求（模型其实已做得很好）；只有难度源 → 无人在意的失败；只有设计源 → 别人 benchmark 的补丁。</t>
        </is>
      </c>
    </row>
    <row r="4" ht="38" customHeight="1">
      <c r="A4" s="3" t="inlineStr">
        <is>
          <t>步骤</t>
        </is>
      </c>
      <c r="B4" s="3" t="inlineStr">
        <is>
          <t>动作</t>
        </is>
      </c>
      <c r="C4" s="3" t="inlineStr">
        <is>
          <t>用哪些源</t>
        </is>
      </c>
      <c r="D4" s="3" t="inlineStr">
        <is>
          <t>输出物</t>
        </is>
      </c>
      <c r="E4" s="3" t="inlineStr">
        <is>
          <t>否决条件（早否早省钱）</t>
        </is>
      </c>
      <c r="F4" s="3" t="inlineStr">
        <is>
          <t>示例：PDF 财报异常识别与证据引用</t>
        </is>
      </c>
    </row>
    <row r="5" ht="92" customHeight="1">
      <c r="A5" s="47" t="inlineStr">
        <is>
          <t>Step 1
价值定位</t>
        </is>
      </c>
      <c r="B5" s="5" t="inlineStr">
        <is>
          <t>① 问业务方「现在最不知道模型哪项能力到底行不行」
② 真实用户 Query 聚类，找高频 × 高价值 × 当前表现差的簇</t>
        </is>
      </c>
      <c r="C5" s="48" t="inlineStr">
        <is>
          <t>S8 业务方不确定性
S2 真实用户 Query</t>
        </is>
      </c>
      <c r="D5" s="5" t="inlineStr">
        <is>
          <t>锁定一个具体的真实任务
（含角色 / 频率 / 错误后果）</t>
        </is>
      </c>
      <c r="E5" s="32" t="inlineStr">
        <is>
          <t>说不出具体角色、频率或错误后果
→ 直接否决</t>
        </is>
      </c>
      <c r="F5" s="5" t="inlineStr">
        <is>
          <t>业务方：「不知道新模型有没有提升 PDF 财务分析」
Query 高频簇 = 读财报→找异常→引用证据→给结论
（不是 CFA 选择题）</t>
        </is>
      </c>
    </row>
    <row r="6" ht="92" customHeight="1">
      <c r="A6" s="47" t="inlineStr">
        <is>
          <t>Step 2
Failure 验证</t>
        </is>
      </c>
      <c r="B6" s="5" t="inlineStr">
        <is>
          <t>拿当前 SOTA 跑 20 个真实任务，采集失败案例并归类
→ 把 Failure 抽象成可评测的能力维度</t>
        </is>
      </c>
      <c r="C6" s="49" t="inlineStr">
        <is>
          <t>S3 模型 Failure Case
S6 论文与新能力</t>
        </is>
      </c>
      <c r="D6" s="5" t="inlineStr">
        <is>
          <t>Failure 清单 + 能力抽象结果</t>
        </is>
      </c>
      <c r="E6" s="32" t="inlineStr">
        <is>
          <t>SOTA 得分 &gt;85% → 否决（已饱和）
SOTA &lt;20% → 先排查题目/评分</t>
        </is>
      </c>
      <c r="F6" s="5" t="inlineStr">
        <is>
          <t>失败集中在：引用错数字、跨页勾稽错、去年数当今年、口径未调整
→ 抽象为 Long-context retrieval + Numerical grounding
+ Cross-page reasoning + Citation correctness</t>
        </is>
      </c>
    </row>
    <row r="7" ht="92" customHeight="1">
      <c r="A7" s="47" t="inlineStr">
        <is>
          <t>Step 3
区分度验证
⭐最便宜的关卡</t>
        </is>
      </c>
      <c r="B7" s="5" t="inlineStr">
        <is>
          <t>同一批 20 题跑 GPT / Claude / Gemini / DeepSeek / Qwen
看模型之间差距与排序是否稳定</t>
        </is>
      </c>
      <c r="C7" s="49" t="inlineStr">
        <is>
          <t>S7 竞品模型差异</t>
        </is>
      </c>
      <c r="D7" s="5" t="inlineStr">
        <is>
          <t>分数极差 + Spearman 排序一致性</t>
        </is>
      </c>
      <c r="E7" s="32" t="inlineStr">
        <is>
          <t>极差 &lt;25pt → 否决（无区分度）
排序混乱 → 是噪声不是区分度</t>
        </is>
      </c>
      <c r="F7" s="5" t="inlineStr">
        <is>
          <t>极差 30pt+，排序与公认能力一致
→ 区分度通过 ✓</t>
        </is>
      </c>
    </row>
    <row r="8" ht="92" customHeight="1">
      <c r="A8" s="47" t="inlineStr">
        <is>
          <t>Step 4
Rubric 设计</t>
        </is>
      </c>
      <c r="B8" s="5" t="inlineStr">
        <is>
          <t>对专家用「三问法」，不要问「给我出 100 道难题」：
① 最难的 5 件事？② 新人最容易在哪犯错？③ 什么任务一看就知道专不专业？</t>
        </is>
      </c>
      <c r="C8" s="48" t="inlineStr">
        <is>
          <t>S4 专家工作流</t>
        </is>
      </c>
      <c r="D8" s="5" t="inlineStr">
        <is>
          <t>case-specific Rubric
（评分点 + 权重 + 权威依据）</t>
        </is>
      </c>
      <c r="E8" s="32" t="inlineStr">
        <is>
          <t>专家给不出可判定的标准
→ 降级为 WATCH，先做方法论</t>
        </is>
      </c>
      <c r="F8" s="5" t="inlineStr">
        <is>
          <t>分析师：「新人最容易错在口径调整和附注勾稽」
「一眼看专不专业：会不会去翻附注」
→ 直接成为 Rubric 核心项，且答案唯一可自动判分</t>
        </is>
      </c>
    </row>
    <row r="9" ht="92" customHeight="1">
      <c r="A9" s="47" t="inlineStr">
        <is>
          <t>Step 5
差异化定位</t>
        </is>
      </c>
      <c r="B9" s="5" t="inlineStr">
        <is>
          <t>研究现有 Benchmark 的 taxonomy / task design / 已披露 failure
重点不是照搬题，是找它没覆盖、覆盖不深、已饱和的地方</t>
        </is>
      </c>
      <c r="C9" s="38" t="inlineStr">
        <is>
          <t>S1 现有 Benchmark
S5 产品与 Agent 场景</t>
        </is>
      </c>
      <c r="D9" s="5" t="inlineStr">
        <is>
          <t>差异化声明（一句话说清独特性）</t>
        </is>
      </c>
      <c r="E9" s="32" t="inlineStr">
        <is>
          <t>已有 Bench 完全覆盖且未饱和
→ 否决</t>
        </is>
      </c>
      <c r="F9" s="5" t="inlineStr">
        <is>
          <t>FinanceBench 规模小；CNFinBench 偏单轮 QA；
两者均无 citation 正确性维度
→ 差异化 = 任务式 + 引用正确性单独计分 ✓</t>
        </is>
      </c>
    </row>
    <row r="10" ht="92" customHeight="1">
      <c r="A10" s="47" t="inlineStr">
        <is>
          <t>Step 6
立项</t>
        </is>
      </c>
      <c r="B10" s="5" t="inlineStr">
        <is>
          <t>填 07_Idea卡片 + 跑 06_探针验收表 的 8 条 Gate</t>
        </is>
      </c>
      <c r="C10" s="13" t="inlineStr">
        <is>
          <t>—</t>
        </is>
      </c>
      <c r="D10" s="5" t="inlineStr">
        <is>
          <t>立项材料（PRD 前置文档）</t>
        </is>
      </c>
      <c r="E10" s="32" t="inlineStr">
        <is>
          <t>8 条 Gate 任一 FAIL → 整改后复测
≥3 条 FAIL → 回到选题</t>
        </is>
      </c>
      <c r="F10" s="5" t="inlineStr">
        <is>
          <t>8 条 Gate 预估全过 → GO 立项（见 01_Idea池 ID-16）</t>
        </is>
      </c>
    </row>
    <row r="12">
      <c r="A12" s="17" t="inlineStr">
        <is>
          <t>Failure → Capability 抽象对照表（Step 2 的核心动作）</t>
        </is>
      </c>
      <c r="B12" s="29" t="n"/>
      <c r="C12" s="29" t="n"/>
      <c r="D12" s="29" t="n"/>
      <c r="E12" s="29" t="n"/>
      <c r="F12" s="30" t="n"/>
    </row>
    <row r="13" ht="26" customHeight="1">
      <c r="A13" s="50" t="inlineStr">
        <is>
          <t>观察到的失败现象</t>
        </is>
      </c>
      <c r="B13" s="50" t="inlineStr">
        <is>
          <t>抽象出的能力维度</t>
        </is>
      </c>
      <c r="C13" s="50" t="n"/>
      <c r="D13" s="50" t="n"/>
      <c r="E13" s="50" t="inlineStr">
        <is>
          <t>可对接的评测设计</t>
        </is>
      </c>
      <c r="F13" s="50" t="n"/>
    </row>
    <row r="14" ht="26" customHeight="1">
      <c r="A14" s="5" t="inlineStr">
        <is>
          <t>长 PDF / 长病历中引用错数字</t>
        </is>
      </c>
      <c r="B14" s="5" t="inlineStr">
        <is>
          <t>Long-context retrieval + Numerical grounding</t>
        </is>
      </c>
      <c r="C14" s="5" t="n"/>
      <c r="D14" s="5" t="n"/>
      <c r="E14" s="5" t="inlineStr">
        <is>
          <t>定位题 + 数值精确匹配</t>
        </is>
      </c>
      <c r="F14" s="5" t="n"/>
    </row>
    <row r="15" ht="26" customHeight="1">
      <c r="A15" s="5" t="inlineStr">
        <is>
          <t>跨页、跨表、跨期信息整合出错</t>
        </is>
      </c>
      <c r="B15" s="5" t="inlineStr">
        <is>
          <t>Cross-page / Cross-document reasoning</t>
        </is>
      </c>
      <c r="C15" s="5" t="n"/>
      <c r="D15" s="5" t="n"/>
      <c r="E15" s="5" t="inlineStr">
        <is>
          <t>勾稽计算题，答案唯一</t>
        </is>
      </c>
      <c r="F15" s="5" t="n"/>
    </row>
    <row r="16" ht="26" customHeight="1">
      <c r="A16" s="5" t="inlineStr">
        <is>
          <t>引用了不存在的页码、条文、文献</t>
        </is>
      </c>
      <c r="B16" s="5" t="inlineStr">
        <is>
          <t>Citation correctness / Attribution</t>
        </is>
      </c>
      <c r="C16" s="5" t="n"/>
      <c r="D16" s="5" t="n"/>
      <c r="E16" s="5" t="inlineStr">
        <is>
          <t>引用位置可自动校验，单独计分</t>
        </is>
      </c>
      <c r="F16" s="5" t="n"/>
    </row>
    <row r="17" ht="26" customHeight="1">
      <c r="A17" s="5" t="inlineStr">
        <is>
          <t>明明不确定却给出确定结论</t>
        </is>
      </c>
      <c r="B17" s="5" t="inlineStr">
        <is>
          <t>Uncertainty calibration</t>
        </is>
      </c>
      <c r="C17" s="5" t="n"/>
      <c r="D17" s="5" t="n"/>
      <c r="E17" s="5" t="inlineStr">
        <is>
          <t>要求输出置信度，算校准误差</t>
        </is>
      </c>
      <c r="F17" s="5" t="n"/>
    </row>
    <row r="18" ht="26" customHeight="1">
      <c r="A18" s="5" t="inlineStr">
        <is>
          <t>引用了过时版本的指南 / 法条 / 准则</t>
        </is>
      </c>
      <c r="B18" s="5" t="inlineStr">
        <is>
          <t>Knowledge recency + Version awareness</t>
        </is>
      </c>
      <c r="C18" s="5" t="n"/>
      <c r="D18" s="5" t="n"/>
      <c r="E18" s="5" t="inlineStr">
        <is>
          <t>同一问题的新旧版本对照题</t>
        </is>
      </c>
      <c r="F18" s="5" t="n"/>
    </row>
    <row r="19" ht="26" customHeight="1">
      <c r="A19" s="5" t="inlineStr">
        <is>
          <t>多步任务执行到中途跑偏</t>
        </is>
      </c>
      <c r="B19" s="5" t="inlineStr">
        <is>
          <t>Agent planning + 任务保持</t>
        </is>
      </c>
      <c r="C19" s="5" t="n"/>
      <c r="D19" s="5" t="n"/>
      <c r="E19" s="5" t="inlineStr">
        <is>
          <t>轨迹评分（trajectory scoring）</t>
        </is>
      </c>
      <c r="F19" s="5" t="n"/>
    </row>
    <row r="20" ht="26" customHeight="1">
      <c r="A20" s="5" t="inlineStr">
        <is>
          <t>被指出错误后仍坚持原答案</t>
        </is>
      </c>
      <c r="B20" s="5" t="inlineStr">
        <is>
          <t>Self-correction</t>
        </is>
      </c>
      <c r="C20" s="5" t="n"/>
      <c r="D20" s="5" t="n"/>
      <c r="E20" s="5" t="inlineStr">
        <is>
          <t>两轮交互：给出反证后看是否修正</t>
        </is>
      </c>
      <c r="F20" s="5" t="n"/>
    </row>
    <row r="21" ht="26" customHeight="1">
      <c r="A21" s="5" t="inlineStr">
        <is>
          <t>工具/函数参数填错、调用顺序错</t>
        </is>
      </c>
      <c r="B21" s="5" t="inlineStr">
        <is>
          <t>Tool use</t>
        </is>
      </c>
      <c r="C21" s="5" t="n"/>
      <c r="D21" s="5" t="n"/>
      <c r="E21" s="5" t="inlineStr">
        <is>
          <t>沙箱环境 + 调用序列与参数校验</t>
        </is>
      </c>
      <c r="F21" s="5" t="n"/>
    </row>
    <row r="22" ht="26" customHeight="1">
      <c r="A22" s="5" t="inlineStr">
        <is>
          <t>口径、单位、时间基准未做调整</t>
        </is>
      </c>
      <c r="B22" s="5" t="inlineStr">
        <is>
          <t>Domain convention grounding</t>
        </is>
      </c>
      <c r="C22" s="5" t="n"/>
      <c r="D22" s="5" t="n"/>
      <c r="E22" s="5" t="inlineStr">
        <is>
          <t>专家 Rubric 核心项（新人高频错点）</t>
        </is>
      </c>
      <c r="F22" s="5" t="n"/>
    </row>
    <row r="24">
      <c r="A24" s="17" t="inlineStr">
        <is>
          <t>5 条纪律（写在墙上）</t>
        </is>
      </c>
      <c r="B24" s="29" t="n"/>
      <c r="C24" s="29" t="n"/>
      <c r="D24" s="29" t="n"/>
      <c r="E24" s="29" t="n"/>
      <c r="F24" s="30" t="n"/>
    </row>
    <row r="25" ht="34" customHeight="1">
      <c r="A25" s="4" t="inlineStr">
        <is>
          <t>1. Step 3 尽早做</t>
        </is>
      </c>
      <c r="B25" s="5" t="inlineStr">
        <is>
          <t>20 题 × 4 个模型成本极低，却能直接否掉「无区分度」的 Idea。区分度验证放最前面，能省掉后面 90% 的白干。</t>
        </is>
      </c>
      <c r="C25" s="23" t="n"/>
      <c r="D25" s="23" t="n"/>
      <c r="E25" s="23" t="n"/>
      <c r="F25" s="23" t="n"/>
    </row>
    <row r="26" ht="34" customHeight="1">
      <c r="A26" s="4" t="inlineStr">
        <is>
          <t>2. 别问专家出难题</t>
        </is>
      </c>
      <c r="B26" s="5" t="inlineStr">
        <is>
          <t>「给我出 100 道难题」得到的是偏题怪题。要问三问：最难的 5 件事 / 新人易错点 / 一眼看出专不专业的任务。</t>
        </is>
      </c>
      <c r="C26" s="23" t="n"/>
      <c r="D26" s="23" t="n"/>
      <c r="E26" s="23" t="n"/>
      <c r="F26" s="23" t="n"/>
    </row>
    <row r="27" ht="34" customHeight="1">
      <c r="A27" s="4" t="inlineStr">
        <is>
          <t>3. 研究 Bench 不抄题</t>
        </is>
      </c>
      <c r="B27" s="5" t="inlineStr">
        <is>
          <t>看 GAIA、HLE、BrowseComp、SWE-bench 是为了学 taxonomy、task design 和它披露的 failure case，不是搬题目。</t>
        </is>
      </c>
      <c r="C27" s="23" t="n"/>
      <c r="D27" s="23" t="n"/>
      <c r="E27" s="23" t="n"/>
      <c r="F27" s="23" t="n"/>
    </row>
    <row r="28" ht="34" customHeight="1">
      <c r="A28" s="4" t="inlineStr">
        <is>
          <t>4. Failure 必须抽象成能力</t>
        </is>
      </c>
      <c r="B28" s="5" t="inlineStr">
        <is>
          <t>「模型引用错数字」不是能力，「Numerical grounding」才是。不抽象就无法成体系、无法指导迭代。</t>
        </is>
      </c>
      <c r="C28" s="23" t="n"/>
      <c r="D28" s="23" t="n"/>
      <c r="E28" s="23" t="n"/>
      <c r="F28" s="23" t="n"/>
    </row>
    <row r="29" ht="34" customHeight="1">
      <c r="A29" s="4" t="inlineStr">
        <is>
          <t>5. 没区分度的题价值有限</t>
        </is>
      </c>
      <c r="B29" s="5" t="inlineStr">
        <is>
          <t>真实价值再高，如果所有模型都做得一样好或一样差，这个 benchmark 不产生信息量。</t>
        </is>
      </c>
      <c r="C29" s="23" t="n"/>
      <c r="D29" s="23" t="n"/>
      <c r="E29" s="23" t="n"/>
      <c r="F29" s="23" t="n"/>
    </row>
  </sheetData>
  <mergeCells count="29">
    <mergeCell ref="B14:D14"/>
    <mergeCell ref="B25:F25"/>
    <mergeCell ref="B17:D17"/>
    <mergeCell ref="B13:D13"/>
    <mergeCell ref="A12:F12"/>
    <mergeCell ref="E14:F14"/>
    <mergeCell ref="E17:F17"/>
    <mergeCell ref="B27:F27"/>
    <mergeCell ref="A2:F2"/>
    <mergeCell ref="B19:D19"/>
    <mergeCell ref="E20:F20"/>
    <mergeCell ref="E19:F19"/>
    <mergeCell ref="E13:F13"/>
    <mergeCell ref="B15:D15"/>
    <mergeCell ref="B20:D20"/>
    <mergeCell ref="B29:F29"/>
    <mergeCell ref="E15:F15"/>
    <mergeCell ref="B28:F28"/>
    <mergeCell ref="B16:D16"/>
    <mergeCell ref="A24:F24"/>
    <mergeCell ref="E16:F16"/>
    <mergeCell ref="B22:D22"/>
    <mergeCell ref="A1:F1"/>
    <mergeCell ref="B18:D18"/>
    <mergeCell ref="E22:F22"/>
    <mergeCell ref="B21:D21"/>
    <mergeCell ref="E18:F18"/>
    <mergeCell ref="B26:F26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2026-09-14T10:10:46Z</dcterms:created>
  <dcterms:modified xmlns:dcterms="http://purl.org/dc/terms/" xmlns:xsi="http://www.w3.org/2001/XMLSchema-instance" xsi:type="dcterms:W3CDTF">2026-09-14T10:10:46Z</dcterms:modified>
</cp:coreProperties>
</file>